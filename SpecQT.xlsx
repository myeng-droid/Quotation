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Quotation\"/>
    </mc:Choice>
  </mc:AlternateContent>
  <xr:revisionPtr revIDLastSave="0" documentId="13_ncr:1_{4C5B1366-25C4-4A68-A1A5-9B9B0FDB52BF}" xr6:coauthVersionLast="47" xr6:coauthVersionMax="47" xr10:uidLastSave="{00000000-0000-0000-0000-000000000000}"/>
  <bookViews>
    <workbookView xWindow="-110" yWindow="-110" windowWidth="19420" windowHeight="11500" xr2:uid="{19794FD9-2C50-4521-9D46-2A834FFCC96F}"/>
  </bookViews>
  <sheets>
    <sheet name="Spec" sheetId="3" r:id="rId1"/>
    <sheet name="Quotation (2)" sheetId="2" r:id="rId2"/>
    <sheet name="Quotation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C21" i="3"/>
  <c r="C9" i="3"/>
  <c r="R2" i="2"/>
  <c r="Q2" i="2"/>
  <c r="H2" i="2"/>
  <c r="R2" i="1"/>
  <c r="Q2" i="1"/>
  <c r="H2" i="1"/>
</calcChain>
</file>

<file path=xl/sharedStrings.xml><?xml version="1.0" encoding="utf-8"?>
<sst xmlns="http://schemas.openxmlformats.org/spreadsheetml/2006/main" count="208" uniqueCount="102">
  <si>
    <t>document no.</t>
  </si>
  <si>
    <t>document date</t>
  </si>
  <si>
    <t>currency</t>
  </si>
  <si>
    <t>Spot rate</t>
  </si>
  <si>
    <t>discount rate</t>
  </si>
  <si>
    <t>premium rate</t>
  </si>
  <si>
    <t xml:space="preserve">exchange rate </t>
  </si>
  <si>
    <t>Shipment Date</t>
  </si>
  <si>
    <t>Quantity</t>
  </si>
  <si>
    <t>ราคา RM</t>
  </si>
  <si>
    <t>Group</t>
  </si>
  <si>
    <t>overhead</t>
  </si>
  <si>
    <t>Factory Expense</t>
  </si>
  <si>
    <t>จำนวนตู้ส่งออก</t>
  </si>
  <si>
    <t>CS251208-0001</t>
  </si>
  <si>
    <t>08122025</t>
  </si>
  <si>
    <t>USD</t>
  </si>
  <si>
    <t>Dec.25</t>
  </si>
  <si>
    <t>500 ton</t>
  </si>
  <si>
    <t>HM4 New</t>
  </si>
  <si>
    <t>document no.= CSตามด้วย ปีคศ.(2 ตัว)เดือนวัน -running 4 degit</t>
  </si>
  <si>
    <t xml:space="preserve"> ระบุโดยเลือกจาก list ของ currency มาจากการข้อมูลใน sheet currency</t>
  </si>
  <si>
    <t>Spot rate= มาจาก Currency ที่ระบุ แล้วlink มาจับ rate จาก yahoofinance</t>
  </si>
  <si>
    <t>ระบุเอง เนื่องจากการเลือกใช้งานมีหลายแบบ เช่น 1.การเงินกำหนด 2.บางทีมกำหนดเอง 3.บางทีมไม่ระบุ</t>
  </si>
  <si>
    <t xml:space="preserve">ระบุเอง </t>
  </si>
  <si>
    <t>exchange rate = Spot rate -discount rate+premium rate</t>
  </si>
  <si>
    <t>Quantity=ระบุจำนวนที่ต้องการขายเอง หน่วย Ton</t>
  </si>
  <si>
    <t>Product=ระบุโดยเลือกจาก list ที่มาจาก Sheet ราคาวัตถุดิบ</t>
  </si>
  <si>
    <t>Group=ระบุเอง โดยเลือกจาก ใน list ข้อมูลจาก Sheet Overhead ในส่วนข้อมูล Group (0,1,2,3,4,5,6)</t>
  </si>
  <si>
    <t>overhead = เมื่อระบุ group แล้วให้ระบบดึงOverheadราคามาตาม Group จาก Overhead</t>
  </si>
  <si>
    <t>Factory Expense=ให้ดึง Factory Expenseมาอัตโนมัติจาก Sheet Factory Expense</t>
  </si>
  <si>
    <t>จำนวนตู้ส่งออก =ระบุเอง</t>
  </si>
  <si>
    <t>CS มาจาก Cost Sheet</t>
  </si>
  <si>
    <t>ค่าพาหนะไปรมยา​</t>
  </si>
  <si>
    <t>ค่าพาหนะเจ้าหน้าที่เกษตร​</t>
  </si>
  <si>
    <t>อื่นๆ​เอกสารใบนุญาตจากหน่วยงานราชการ</t>
  </si>
  <si>
    <t>ค่าหัวลาก</t>
  </si>
  <si>
    <t>ค่าตรวจสอบ + รมยา </t>
  </si>
  <si>
    <t>ค่าหัวลาก = นำจำนวนตู้ส่งออก X ค่าหัวลาก จาก Sheet ค่าใช้จ่ายส่งออก เช่น 5* 8300= 41500</t>
  </si>
  <si>
    <t>ค่าตรวจสอบ + รมยา  = นำจำนวนตู้ส่งออก X ค่าตรวจสอบ + รมยา จาก Sheet ค่าใช้จ่ายส่งออก เช่น 5* 1050=</t>
  </si>
  <si>
    <t xml:space="preserve">ค่าพาหนะไปรมยา​  = ดึงค่าพาหนะไปรมยา Sheet ค่าใช้จ่ายส่งออก </t>
  </si>
  <si>
    <t>THC​ ค่าดำเนินการในท่าเรือ</t>
  </si>
  <si>
    <t xml:space="preserve">ค่าพาหนะเจ้าหน้าที่เกษตร​= ดึงค่าพาหนะเจ้าหน้าที่เกษตร​Sheet ค่าใช้จ่ายส่งออก </t>
  </si>
  <si>
    <t xml:space="preserve">อื่นๆ​เอกสารใบนุญาตจากหน่วยงานราชการ= ดึงอื่นๆ​เอกสารใบนุญาตจากหน่วยงานราชการ ​Sheet ค่าใช้จ่ายส่งออก </t>
  </si>
  <si>
    <t>THC​ ค่าดำเนินการในท่าเรือ= นำจำนวนตู้ส่งออก X THC​ ค่าดำเนินการในท่าเรือจาก Sheet ค่าใช้จ่ายส่งออก เช่น 5* 1050=</t>
  </si>
  <si>
    <t>วันที่ทำรายการ dd/MM/yyyy/mm</t>
  </si>
  <si>
    <t>Product name</t>
  </si>
  <si>
    <t>Product name=ระบุเอง</t>
  </si>
  <si>
    <t>Shipment Date = เดือนปี ที่ต้องการขายสินค้า ระบุโดยจากcalendar คศ.(2degit) (ข้อมูลมีให้เลือก2ปี) เช่น Dec.25</t>
  </si>
  <si>
    <t>Product RM</t>
  </si>
  <si>
    <t xml:space="preserve">1ดูจากคอลัมน์ Product RM </t>
  </si>
  <si>
    <t>2 ดูจากคอลัมน์ Shipment Date</t>
  </si>
  <si>
    <t>ราคา RM=look up ราคามาจาก sheet ราคาวัตถุดิบ โดยมีเงื่อนไขดังนี้</t>
  </si>
  <si>
    <t>look up ตามเงื่อนไข คอลัมน์ Group</t>
  </si>
  <si>
    <t>** sheet ที่ look up ให้ไปดูที่ไฟล์ Master.xlsx</t>
  </si>
  <si>
    <t>row 1 คือชื่อคอลัมน์</t>
  </si>
  <si>
    <t>row 2 คือตัวอย่างข้อมูล</t>
  </si>
  <si>
    <t>row 3 คือคำอธิบาย</t>
  </si>
  <si>
    <t>column name</t>
  </si>
  <si>
    <t>example</t>
  </si>
  <si>
    <t>description</t>
  </si>
  <si>
    <t>ราคา RM=look up ราคามาจาก sheet ราคาวัตถุดิบ โดยมีเงื่อนไขดังนี้ 1ดูจากคอลัมน์ Product RM 2 ดูจากคอลัมน์ Shipment Date</t>
  </si>
  <si>
    <t>overhead = เมื่อระบุ group แล้วให้ระบบดึงOverheadราคามาตาม Group จาก Overhead look up ตามเงื่อนไข คอลัมน์ Group</t>
  </si>
  <si>
    <t>Seal​ ค่าอุปกรณ์ล๊อคประตูตู้</t>
  </si>
  <si>
    <t>Seal​ ค่าอุปกรณ์ล๊อคประตูตู้ = นำจำนวนตู้ส่งออก X Seal​ ค่าอุปกรณ์ล๊อคประตูตู้จาก Sheet ค่าใช้จ่ายส่งออก</t>
  </si>
  <si>
    <t>B/L​ ค่าทำเอกสารส่งออกทางเรือ</t>
  </si>
  <si>
    <t xml:space="preserve">B/L​ ค่าทำเอกสารส่งออกทางเรือ= ดึงB/L​ ค่าทำเอกสารส่งออกทางเรือจาก ​Sheet ค่าใช้จ่ายส่งออก </t>
  </si>
  <si>
    <t>ค่าจัดทำเอกสาร​</t>
  </si>
  <si>
    <t xml:space="preserve">ค่าจัดทำเอกสาร​= ค่าจัดทำเอกสาร​จาก ​Sheet ค่าใช้จ่ายส่งออก </t>
  </si>
  <si>
    <t>Shipping​</t>
  </si>
  <si>
    <t>PACKAGING</t>
  </si>
  <si>
    <t>PACKAGING=ระบุเอง</t>
  </si>
  <si>
    <t>FREIGHT</t>
  </si>
  <si>
    <t>FREIGHT=ระบุเอง</t>
  </si>
  <si>
    <t xml:space="preserve">RM INTEREST </t>
  </si>
  <si>
    <t>RM INTEREST =ระบุเอง</t>
  </si>
  <si>
    <t>RM INTEREST %</t>
  </si>
  <si>
    <t>AR  Interest %</t>
  </si>
  <si>
    <t xml:space="preserve">AR  Interest </t>
  </si>
  <si>
    <t>RM INTEREST %=ระบุเอง</t>
  </si>
  <si>
    <t>AR  Interest %=ระบุเอง</t>
  </si>
  <si>
    <t>AR  Interest =ระบุเอง</t>
  </si>
  <si>
    <t xml:space="preserve"> WH Storage Day</t>
  </si>
  <si>
    <t xml:space="preserve"> WH Storage </t>
  </si>
  <si>
    <t xml:space="preserve">Magin Cost After </t>
  </si>
  <si>
    <t xml:space="preserve"> WH Storage Day =ระบุเอง</t>
  </si>
  <si>
    <t xml:space="preserve">Magin Cost After =magin Cost-RM INTEREST - AR  Interest - WH Storage </t>
  </si>
  <si>
    <t>Total Cost</t>
  </si>
  <si>
    <t xml:space="preserve">Magin Cost  </t>
  </si>
  <si>
    <t>Magin Cost  =Total Cost -Selling Price</t>
  </si>
  <si>
    <t>WH Storage = คำนวณจากนำวันจากWH Storage Day*30</t>
  </si>
  <si>
    <t>Selling Price</t>
  </si>
  <si>
    <t>Selling Price =ระบุเอง</t>
  </si>
  <si>
    <t>Shipping​ = นำจำนวนตู้ส่งออก X Shipping​จาก Sheet ค่าใช้จ่ายส่งออก (คำนวณตามหลักขั้นบันไดของจำนวนตู้ส่งออก)</t>
  </si>
  <si>
    <t>customer</t>
  </si>
  <si>
    <t>Export Expense</t>
  </si>
  <si>
    <t>Export Expense= ผลรวมของค่าใช้จ่าย ตั้งแต่ column A18-A27</t>
  </si>
  <si>
    <t>Total Cost=Export Expense</t>
  </si>
  <si>
    <t>Shipment Date form</t>
  </si>
  <si>
    <t>Product Name</t>
  </si>
  <si>
    <t>Product Name =ระบุเอง</t>
  </si>
  <si>
    <t xml:space="preserve">customer=look up จากlist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</si>
</sst>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sz val="10"/>
      <color rgb="FF000000"/>
      <name val="Arial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0" fillId="0" borderId="2" xfId="0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33F0-A5E7-4582-A3D6-5E7E86410F5E}">
  <dimension ref="A1:C44"/>
  <sheetViews>
    <sheetView tabSelected="1" topLeftCell="A30" workbookViewId="0">
      <selection activeCell="B44" sqref="B44"/>
    </sheetView>
  </sheetViews>
  <sheetFormatPr defaultRowHeight="16.5" x14ac:dyDescent="0.45"/>
  <cols>
    <col min="1" max="1" width="27.58203125" customWidth="1"/>
    <col min="2" max="2" width="46.1640625" customWidth="1"/>
    <col min="3" max="3" width="26.75" customWidth="1"/>
  </cols>
  <sheetData>
    <row r="1" spans="1:3" x14ac:dyDescent="0.45">
      <c r="A1" t="s">
        <v>58</v>
      </c>
      <c r="B1" t="s">
        <v>60</v>
      </c>
      <c r="C1" t="s">
        <v>59</v>
      </c>
    </row>
    <row r="2" spans="1:3" ht="33" x14ac:dyDescent="0.45">
      <c r="A2" s="3" t="s">
        <v>0</v>
      </c>
      <c r="B2" s="5" t="s">
        <v>20</v>
      </c>
      <c r="C2" t="s">
        <v>14</v>
      </c>
    </row>
    <row r="3" spans="1:3" x14ac:dyDescent="0.45">
      <c r="A3" s="3" t="s">
        <v>1</v>
      </c>
      <c r="B3" s="5" t="s">
        <v>45</v>
      </c>
      <c r="C3" s="1" t="s">
        <v>15</v>
      </c>
    </row>
    <row r="4" spans="1:3" x14ac:dyDescent="0.45">
      <c r="A4" s="3" t="s">
        <v>46</v>
      </c>
      <c r="B4" s="5" t="s">
        <v>47</v>
      </c>
    </row>
    <row r="5" spans="1:3" ht="33" x14ac:dyDescent="0.45">
      <c r="A5" s="3" t="s">
        <v>2</v>
      </c>
      <c r="B5" s="5" t="s">
        <v>21</v>
      </c>
      <c r="C5" t="s">
        <v>16</v>
      </c>
    </row>
    <row r="6" spans="1:3" ht="33" x14ac:dyDescent="0.45">
      <c r="A6" s="3" t="s">
        <v>3</v>
      </c>
      <c r="B6" s="5" t="s">
        <v>22</v>
      </c>
      <c r="C6">
        <v>31.2</v>
      </c>
    </row>
    <row r="7" spans="1:3" ht="33" x14ac:dyDescent="0.45">
      <c r="A7" s="3" t="s">
        <v>4</v>
      </c>
      <c r="B7" s="5" t="s">
        <v>23</v>
      </c>
      <c r="C7">
        <v>0.1</v>
      </c>
    </row>
    <row r="8" spans="1:3" x14ac:dyDescent="0.45">
      <c r="A8" s="3" t="s">
        <v>5</v>
      </c>
      <c r="B8" s="5" t="s">
        <v>24</v>
      </c>
      <c r="C8">
        <v>0</v>
      </c>
    </row>
    <row r="9" spans="1:3" ht="33" x14ac:dyDescent="0.45">
      <c r="A9" s="3" t="s">
        <v>6</v>
      </c>
      <c r="B9" s="5" t="s">
        <v>25</v>
      </c>
      <c r="C9">
        <f>C6-C7+C8</f>
        <v>31.099999999999998</v>
      </c>
    </row>
    <row r="10" spans="1:3" ht="33" x14ac:dyDescent="0.45">
      <c r="A10" s="3" t="s">
        <v>98</v>
      </c>
      <c r="B10" s="5" t="s">
        <v>48</v>
      </c>
      <c r="C10" t="s">
        <v>17</v>
      </c>
    </row>
    <row r="11" spans="1:3" x14ac:dyDescent="0.45">
      <c r="A11" s="3" t="s">
        <v>98</v>
      </c>
      <c r="B11" s="5"/>
    </row>
    <row r="12" spans="1:3" x14ac:dyDescent="0.45">
      <c r="A12" s="3" t="s">
        <v>8</v>
      </c>
      <c r="B12" s="5" t="s">
        <v>26</v>
      </c>
      <c r="C12" t="s">
        <v>18</v>
      </c>
    </row>
    <row r="13" spans="1:3" x14ac:dyDescent="0.45">
      <c r="A13" s="3" t="s">
        <v>99</v>
      </c>
      <c r="B13" s="5" t="s">
        <v>100</v>
      </c>
    </row>
    <row r="14" spans="1:3" x14ac:dyDescent="0.45">
      <c r="A14" s="3" t="s">
        <v>49</v>
      </c>
      <c r="B14" s="5" t="s">
        <v>27</v>
      </c>
      <c r="C14" t="s">
        <v>19</v>
      </c>
    </row>
    <row r="15" spans="1:3" ht="49.5" x14ac:dyDescent="0.45">
      <c r="A15" s="3" t="s">
        <v>9</v>
      </c>
      <c r="B15" s="5" t="s">
        <v>61</v>
      </c>
      <c r="C15">
        <v>33.380000000000003</v>
      </c>
    </row>
    <row r="16" spans="1:3" ht="33" x14ac:dyDescent="0.45">
      <c r="A16" s="3" t="s">
        <v>10</v>
      </c>
      <c r="B16" s="5" t="s">
        <v>28</v>
      </c>
      <c r="C16">
        <v>3</v>
      </c>
    </row>
    <row r="17" spans="1:3" ht="49.5" x14ac:dyDescent="0.45">
      <c r="A17" s="3" t="s">
        <v>11</v>
      </c>
      <c r="B17" s="5" t="s">
        <v>62</v>
      </c>
      <c r="C17">
        <v>0.56999999999999995</v>
      </c>
    </row>
    <row r="18" spans="1:3" ht="33" x14ac:dyDescent="0.45">
      <c r="A18" s="3" t="s">
        <v>12</v>
      </c>
      <c r="B18" s="5" t="s">
        <v>30</v>
      </c>
      <c r="C18">
        <v>0.42</v>
      </c>
    </row>
    <row r="19" spans="1:3" x14ac:dyDescent="0.45">
      <c r="A19" s="3" t="s">
        <v>13</v>
      </c>
      <c r="B19" s="8" t="s">
        <v>31</v>
      </c>
      <c r="C19">
        <v>5</v>
      </c>
    </row>
    <row r="20" spans="1:3" ht="33" x14ac:dyDescent="0.45">
      <c r="A20" s="3" t="s">
        <v>69</v>
      </c>
      <c r="B20" s="8" t="s">
        <v>93</v>
      </c>
    </row>
    <row r="21" spans="1:3" ht="33" x14ac:dyDescent="0.45">
      <c r="A21" s="3" t="s">
        <v>36</v>
      </c>
      <c r="B21" s="5" t="s">
        <v>38</v>
      </c>
      <c r="C21">
        <f>8300*5</f>
        <v>41500</v>
      </c>
    </row>
    <row r="22" spans="1:3" ht="33" x14ac:dyDescent="0.45">
      <c r="A22" s="3" t="s">
        <v>37</v>
      </c>
      <c r="B22" s="5" t="s">
        <v>39</v>
      </c>
      <c r="C22">
        <f>5*1050</f>
        <v>5250</v>
      </c>
    </row>
    <row r="23" spans="1:3" ht="33" x14ac:dyDescent="0.45">
      <c r="A23" s="3" t="s">
        <v>33</v>
      </c>
      <c r="B23" s="5" t="s">
        <v>40</v>
      </c>
      <c r="C23">
        <v>1050</v>
      </c>
    </row>
    <row r="24" spans="1:3" ht="33" x14ac:dyDescent="0.45">
      <c r="A24" s="9" t="s">
        <v>34</v>
      </c>
      <c r="B24" s="5" t="s">
        <v>42</v>
      </c>
      <c r="C24">
        <v>1350</v>
      </c>
    </row>
    <row r="25" spans="1:3" ht="49.5" x14ac:dyDescent="0.45">
      <c r="A25" s="9" t="s">
        <v>35</v>
      </c>
      <c r="B25" s="5" t="s">
        <v>43</v>
      </c>
      <c r="C25">
        <v>938</v>
      </c>
    </row>
    <row r="26" spans="1:3" ht="33" x14ac:dyDescent="0.45">
      <c r="A26" s="9" t="s">
        <v>41</v>
      </c>
      <c r="B26" s="5" t="s">
        <v>44</v>
      </c>
    </row>
    <row r="27" spans="1:3" ht="27" x14ac:dyDescent="0.45">
      <c r="A27" s="11" t="s">
        <v>63</v>
      </c>
      <c r="B27" s="12" t="s">
        <v>64</v>
      </c>
      <c r="C27" s="12"/>
    </row>
    <row r="28" spans="1:3" ht="33" x14ac:dyDescent="0.45">
      <c r="A28" s="11" t="s">
        <v>65</v>
      </c>
      <c r="B28" s="5" t="s">
        <v>66</v>
      </c>
      <c r="C28" s="5"/>
    </row>
    <row r="29" spans="1:3" x14ac:dyDescent="0.45">
      <c r="A29" s="13" t="s">
        <v>67</v>
      </c>
      <c r="B29" s="5" t="s">
        <v>68</v>
      </c>
      <c r="C29" s="5"/>
    </row>
    <row r="30" spans="1:3" x14ac:dyDescent="0.45">
      <c r="A30" s="14" t="s">
        <v>70</v>
      </c>
      <c r="B30" s="15" t="s">
        <v>71</v>
      </c>
      <c r="C30" s="5"/>
    </row>
    <row r="31" spans="1:3" x14ac:dyDescent="0.45">
      <c r="A31" s="14" t="s">
        <v>72</v>
      </c>
      <c r="B31" s="15" t="s">
        <v>73</v>
      </c>
      <c r="C31" s="5"/>
    </row>
    <row r="32" spans="1:3" ht="33" x14ac:dyDescent="0.45">
      <c r="A32" s="14" t="s">
        <v>95</v>
      </c>
      <c r="B32" s="15" t="s">
        <v>96</v>
      </c>
      <c r="C32" s="5"/>
    </row>
    <row r="33" spans="1:3" x14ac:dyDescent="0.45">
      <c r="A33" s="14" t="s">
        <v>87</v>
      </c>
      <c r="B33" s="15" t="s">
        <v>97</v>
      </c>
      <c r="C33" s="5"/>
    </row>
    <row r="34" spans="1:3" x14ac:dyDescent="0.45">
      <c r="A34" s="19"/>
      <c r="B34" s="20"/>
      <c r="C34" s="5"/>
    </row>
    <row r="35" spans="1:3" x14ac:dyDescent="0.45">
      <c r="A35" s="21" t="s">
        <v>88</v>
      </c>
      <c r="B35" s="21" t="s">
        <v>89</v>
      </c>
      <c r="C35" s="5"/>
    </row>
    <row r="36" spans="1:3" x14ac:dyDescent="0.45">
      <c r="A36" s="17" t="s">
        <v>91</v>
      </c>
      <c r="B36" s="18" t="s">
        <v>92</v>
      </c>
      <c r="C36" s="5"/>
    </row>
    <row r="37" spans="1:3" x14ac:dyDescent="0.45">
      <c r="A37" s="14" t="s">
        <v>76</v>
      </c>
      <c r="B37" s="16" t="s">
        <v>79</v>
      </c>
      <c r="C37" s="5"/>
    </row>
    <row r="38" spans="1:3" x14ac:dyDescent="0.45">
      <c r="A38" s="14" t="s">
        <v>74</v>
      </c>
      <c r="B38" s="15" t="s">
        <v>75</v>
      </c>
      <c r="C38" s="5"/>
    </row>
    <row r="39" spans="1:3" x14ac:dyDescent="0.45">
      <c r="A39" s="14" t="s">
        <v>77</v>
      </c>
      <c r="B39" s="16" t="s">
        <v>80</v>
      </c>
    </row>
    <row r="40" spans="1:3" x14ac:dyDescent="0.45">
      <c r="A40" s="14" t="s">
        <v>78</v>
      </c>
      <c r="B40" s="16" t="s">
        <v>81</v>
      </c>
    </row>
    <row r="41" spans="1:3" x14ac:dyDescent="0.45">
      <c r="A41" s="14" t="s">
        <v>82</v>
      </c>
      <c r="B41" s="16" t="s">
        <v>85</v>
      </c>
    </row>
    <row r="42" spans="1:3" x14ac:dyDescent="0.45">
      <c r="A42" s="16" t="s">
        <v>83</v>
      </c>
      <c r="B42" s="16" t="s">
        <v>90</v>
      </c>
    </row>
    <row r="43" spans="1:3" x14ac:dyDescent="0.45">
      <c r="A43" t="s">
        <v>84</v>
      </c>
      <c r="B43" t="s">
        <v>86</v>
      </c>
    </row>
    <row r="44" spans="1:3" x14ac:dyDescent="0.45">
      <c r="A44" s="17" t="s">
        <v>94</v>
      </c>
      <c r="B44" s="17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25DB-FF16-488B-A5D4-CD7F846E4280}">
  <dimension ref="A1:V10"/>
  <sheetViews>
    <sheetView topLeftCell="O1" workbookViewId="0">
      <selection activeCell="P11" sqref="P11"/>
    </sheetView>
  </sheetViews>
  <sheetFormatPr defaultRowHeight="16.5" x14ac:dyDescent="0.45"/>
  <cols>
    <col min="1" max="1" width="20.08203125" customWidth="1"/>
    <col min="2" max="2" width="12.75" customWidth="1"/>
    <col min="3" max="3" width="10.58203125" customWidth="1"/>
    <col min="4" max="4" width="16.33203125" bestFit="1" customWidth="1"/>
    <col min="5" max="5" width="20.08203125" bestFit="1" customWidth="1"/>
    <col min="6" max="6" width="17.58203125" customWidth="1"/>
    <col min="7" max="7" width="14.08203125" customWidth="1"/>
    <col min="8" max="10" width="16.83203125" customWidth="1"/>
    <col min="11" max="11" width="15" bestFit="1" customWidth="1"/>
    <col min="12" max="12" width="16" customWidth="1"/>
    <col min="13" max="13" width="16.33203125" customWidth="1"/>
    <col min="14" max="14" width="19.33203125" customWidth="1"/>
    <col min="15" max="15" width="17.08203125" customWidth="1"/>
    <col min="16" max="16" width="11.75" bestFit="1" customWidth="1"/>
    <col min="17" max="17" width="22.58203125" bestFit="1" customWidth="1"/>
    <col min="18" max="18" width="20.9140625" customWidth="1"/>
    <col min="19" max="19" width="15.1640625" customWidth="1"/>
    <col min="20" max="20" width="13.75" customWidth="1"/>
    <col min="21" max="21" width="17.08203125" customWidth="1"/>
    <col min="22" max="22" width="16.75" customWidth="1"/>
  </cols>
  <sheetData>
    <row r="1" spans="1:22" s="3" customFormat="1" ht="33" x14ac:dyDescent="0.45">
      <c r="A1" s="3" t="s">
        <v>0</v>
      </c>
      <c r="B1" s="3" t="s">
        <v>1</v>
      </c>
      <c r="C1" s="3" t="s">
        <v>46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7" t="s">
        <v>8</v>
      </c>
      <c r="K1" s="7" t="s">
        <v>49</v>
      </c>
      <c r="L1" s="7" t="s">
        <v>9</v>
      </c>
      <c r="M1" s="7" t="s">
        <v>10</v>
      </c>
      <c r="N1" s="7" t="s">
        <v>11</v>
      </c>
      <c r="O1" s="7" t="s">
        <v>12</v>
      </c>
      <c r="P1" s="3" t="s">
        <v>13</v>
      </c>
      <c r="Q1" s="3" t="s">
        <v>36</v>
      </c>
      <c r="R1" s="3" t="s">
        <v>37</v>
      </c>
      <c r="S1" s="3" t="s">
        <v>33</v>
      </c>
      <c r="T1" s="9" t="s">
        <v>34</v>
      </c>
      <c r="U1" s="9" t="s">
        <v>35</v>
      </c>
      <c r="V1" s="9" t="s">
        <v>41</v>
      </c>
    </row>
    <row r="2" spans="1:22" x14ac:dyDescent="0.45">
      <c r="A2" t="s">
        <v>14</v>
      </c>
      <c r="B2" s="1" t="s">
        <v>15</v>
      </c>
      <c r="D2" t="s">
        <v>16</v>
      </c>
      <c r="E2">
        <v>31.2</v>
      </c>
      <c r="F2">
        <v>0.1</v>
      </c>
      <c r="G2">
        <v>0</v>
      </c>
      <c r="H2">
        <f>E2-F2+G2</f>
        <v>31.099999999999998</v>
      </c>
      <c r="I2" t="s">
        <v>17</v>
      </c>
      <c r="J2" t="s">
        <v>18</v>
      </c>
      <c r="K2" t="s">
        <v>19</v>
      </c>
      <c r="L2">
        <v>33.380000000000003</v>
      </c>
      <c r="M2">
        <v>3</v>
      </c>
      <c r="N2">
        <v>0.56999999999999995</v>
      </c>
      <c r="O2">
        <v>0.42</v>
      </c>
      <c r="P2">
        <v>5</v>
      </c>
      <c r="Q2">
        <f>8300*5</f>
        <v>41500</v>
      </c>
      <c r="R2">
        <f>5*1050</f>
        <v>5250</v>
      </c>
      <c r="S2">
        <v>1050</v>
      </c>
      <c r="T2">
        <v>1350</v>
      </c>
      <c r="U2">
        <v>938</v>
      </c>
    </row>
    <row r="3" spans="1:22" s="4" customFormat="1" ht="115.5" x14ac:dyDescent="0.45">
      <c r="A3" s="5" t="s">
        <v>20</v>
      </c>
      <c r="B3" s="5" t="s">
        <v>45</v>
      </c>
      <c r="C3" s="5" t="s">
        <v>47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48</v>
      </c>
      <c r="J3" s="5" t="s">
        <v>26</v>
      </c>
      <c r="K3" s="5" t="s">
        <v>27</v>
      </c>
      <c r="L3" s="5" t="s">
        <v>52</v>
      </c>
      <c r="M3" s="5" t="s">
        <v>28</v>
      </c>
      <c r="N3" s="5" t="s">
        <v>29</v>
      </c>
      <c r="O3" s="5" t="s">
        <v>30</v>
      </c>
      <c r="P3" s="8" t="s">
        <v>31</v>
      </c>
      <c r="Q3" s="5" t="s">
        <v>38</v>
      </c>
      <c r="R3" s="5" t="s">
        <v>39</v>
      </c>
      <c r="S3" s="5" t="s">
        <v>40</v>
      </c>
      <c r="T3" s="5" t="s">
        <v>42</v>
      </c>
      <c r="U3" s="5" t="s">
        <v>43</v>
      </c>
      <c r="V3" s="5" t="s">
        <v>44</v>
      </c>
    </row>
    <row r="4" spans="1:22" s="2" customFormat="1" ht="33" x14ac:dyDescent="0.45">
      <c r="A4" s="2" t="s">
        <v>32</v>
      </c>
      <c r="L4" s="4" t="s">
        <v>50</v>
      </c>
      <c r="N4" s="10" t="s">
        <v>53</v>
      </c>
    </row>
    <row r="5" spans="1:22" x14ac:dyDescent="0.45">
      <c r="L5" s="2" t="s">
        <v>51</v>
      </c>
    </row>
    <row r="7" spans="1:22" x14ac:dyDescent="0.45">
      <c r="A7" t="s">
        <v>54</v>
      </c>
    </row>
    <row r="8" spans="1:22" x14ac:dyDescent="0.45">
      <c r="A8" t="s">
        <v>55</v>
      </c>
    </row>
    <row r="9" spans="1:22" x14ac:dyDescent="0.45">
      <c r="A9" t="s">
        <v>56</v>
      </c>
    </row>
    <row r="10" spans="1:22" x14ac:dyDescent="0.45">
      <c r="A10" t="s">
        <v>57</v>
      </c>
    </row>
  </sheetData>
  <pageMargins left="0.7" right="0.7" top="0.75" bottom="0.75" header="0.3" footer="0.3"/>
  <pageSetup paperSize="9" orientation="portrait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F942-1FA9-4C64-9857-A5C2768F1EA0}">
  <dimension ref="A1:V10"/>
  <sheetViews>
    <sheetView workbookViewId="0">
      <selection activeCell="D6" sqref="D6"/>
    </sheetView>
  </sheetViews>
  <sheetFormatPr defaultRowHeight="16.5" x14ac:dyDescent="0.45"/>
  <cols>
    <col min="1" max="1" width="20.08203125" customWidth="1"/>
    <col min="2" max="2" width="12.75" customWidth="1"/>
    <col min="3" max="3" width="10.58203125" customWidth="1"/>
    <col min="4" max="4" width="16.33203125" bestFit="1" customWidth="1"/>
    <col min="5" max="5" width="20.08203125" bestFit="1" customWidth="1"/>
    <col min="6" max="6" width="17.58203125" customWidth="1"/>
    <col min="7" max="7" width="14.08203125" customWidth="1"/>
    <col min="8" max="10" width="16.83203125" customWidth="1"/>
    <col min="11" max="11" width="15" bestFit="1" customWidth="1"/>
    <col min="12" max="12" width="16" customWidth="1"/>
    <col min="13" max="13" width="16.33203125" customWidth="1"/>
    <col min="14" max="14" width="19.33203125" customWidth="1"/>
    <col min="15" max="15" width="17.08203125" customWidth="1"/>
    <col min="16" max="16" width="11.75" bestFit="1" customWidth="1"/>
    <col min="17" max="17" width="22.58203125" bestFit="1" customWidth="1"/>
    <col min="18" max="18" width="20.9140625" customWidth="1"/>
    <col min="19" max="19" width="15.1640625" customWidth="1"/>
    <col min="20" max="20" width="13.75" customWidth="1"/>
    <col min="21" max="21" width="17.08203125" customWidth="1"/>
    <col min="22" max="22" width="16.75" customWidth="1"/>
  </cols>
  <sheetData>
    <row r="1" spans="1:22" s="3" customFormat="1" ht="33" x14ac:dyDescent="0.45">
      <c r="A1" s="3" t="s">
        <v>0</v>
      </c>
      <c r="B1" s="3" t="s">
        <v>1</v>
      </c>
      <c r="C1" s="3" t="s">
        <v>46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7" t="s">
        <v>8</v>
      </c>
      <c r="K1" s="7" t="s">
        <v>49</v>
      </c>
      <c r="L1" s="7" t="s">
        <v>9</v>
      </c>
      <c r="M1" s="7" t="s">
        <v>10</v>
      </c>
      <c r="N1" s="7" t="s">
        <v>11</v>
      </c>
      <c r="O1" s="7" t="s">
        <v>12</v>
      </c>
      <c r="P1" s="3" t="s">
        <v>13</v>
      </c>
      <c r="Q1" s="3" t="s">
        <v>36</v>
      </c>
      <c r="R1" s="3" t="s">
        <v>37</v>
      </c>
      <c r="S1" s="3" t="s">
        <v>33</v>
      </c>
      <c r="T1" s="9" t="s">
        <v>34</v>
      </c>
      <c r="U1" s="9" t="s">
        <v>35</v>
      </c>
      <c r="V1" s="9" t="s">
        <v>41</v>
      </c>
    </row>
    <row r="2" spans="1:22" x14ac:dyDescent="0.45">
      <c r="A2" t="s">
        <v>14</v>
      </c>
      <c r="B2" s="1" t="s">
        <v>15</v>
      </c>
      <c r="D2" t="s">
        <v>16</v>
      </c>
      <c r="E2">
        <v>31.2</v>
      </c>
      <c r="F2">
        <v>0.1</v>
      </c>
      <c r="G2">
        <v>0</v>
      </c>
      <c r="H2">
        <f>E2-F2+G2</f>
        <v>31.099999999999998</v>
      </c>
      <c r="I2" t="s">
        <v>17</v>
      </c>
      <c r="J2" t="s">
        <v>18</v>
      </c>
      <c r="K2" t="s">
        <v>19</v>
      </c>
      <c r="L2">
        <v>33.380000000000003</v>
      </c>
      <c r="M2">
        <v>3</v>
      </c>
      <c r="N2">
        <v>0.56999999999999995</v>
      </c>
      <c r="O2">
        <v>0.42</v>
      </c>
      <c r="P2">
        <v>5</v>
      </c>
      <c r="Q2">
        <f>8300*5</f>
        <v>41500</v>
      </c>
      <c r="R2">
        <f>5*1050</f>
        <v>5250</v>
      </c>
      <c r="S2">
        <v>1050</v>
      </c>
      <c r="T2">
        <v>1350</v>
      </c>
      <c r="U2">
        <v>938</v>
      </c>
    </row>
    <row r="3" spans="1:22" s="4" customFormat="1" ht="115.5" x14ac:dyDescent="0.45">
      <c r="A3" s="5" t="s">
        <v>20</v>
      </c>
      <c r="B3" s="5" t="s">
        <v>45</v>
      </c>
      <c r="C3" s="5" t="s">
        <v>47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48</v>
      </c>
      <c r="J3" s="5" t="s">
        <v>26</v>
      </c>
      <c r="K3" s="5" t="s">
        <v>27</v>
      </c>
      <c r="L3" s="5" t="s">
        <v>52</v>
      </c>
      <c r="M3" s="5" t="s">
        <v>28</v>
      </c>
      <c r="N3" s="5" t="s">
        <v>29</v>
      </c>
      <c r="O3" s="5" t="s">
        <v>30</v>
      </c>
      <c r="P3" s="8" t="s">
        <v>31</v>
      </c>
      <c r="Q3" s="5" t="s">
        <v>38</v>
      </c>
      <c r="R3" s="5" t="s">
        <v>39</v>
      </c>
      <c r="S3" s="5" t="s">
        <v>40</v>
      </c>
      <c r="T3" s="5" t="s">
        <v>42</v>
      </c>
      <c r="U3" s="5" t="s">
        <v>43</v>
      </c>
      <c r="V3" s="5" t="s">
        <v>44</v>
      </c>
    </row>
    <row r="4" spans="1:22" s="2" customFormat="1" ht="33" x14ac:dyDescent="0.45">
      <c r="A4" s="2" t="s">
        <v>32</v>
      </c>
      <c r="L4" s="4" t="s">
        <v>50</v>
      </c>
      <c r="N4" s="10" t="s">
        <v>53</v>
      </c>
    </row>
    <row r="5" spans="1:22" x14ac:dyDescent="0.45">
      <c r="L5" s="2" t="s">
        <v>51</v>
      </c>
    </row>
    <row r="7" spans="1:22" x14ac:dyDescent="0.45">
      <c r="A7" t="s">
        <v>54</v>
      </c>
    </row>
    <row r="8" spans="1:22" x14ac:dyDescent="0.45">
      <c r="A8" t="s">
        <v>55</v>
      </c>
    </row>
    <row r="9" spans="1:22" x14ac:dyDescent="0.45">
      <c r="A9" t="s">
        <v>56</v>
      </c>
    </row>
    <row r="10" spans="1:22" x14ac:dyDescent="0.45">
      <c r="A10" t="s">
        <v>57</v>
      </c>
    </row>
  </sheetData>
  <pageMargins left="0.7" right="0.7" top="0.75" bottom="0.75" header="0.3" footer="0.3"/>
  <pageSetup paperSize="9" orientation="portrait" copies="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E9DF10A2D3054A81DA473217733159" ma:contentTypeVersion="10" ma:contentTypeDescription="Create a new document." ma:contentTypeScope="" ma:versionID="6ab41556a8e37d58bfcac66da3864cab">
  <xsd:schema xmlns:xsd="http://www.w3.org/2001/XMLSchema" xmlns:xs="http://www.w3.org/2001/XMLSchema" xmlns:p="http://schemas.microsoft.com/office/2006/metadata/properties" xmlns:ns2="8cfdda32-5548-4012-ac44-2b82cbd5939e" xmlns:ns3="5fc4895e-a589-4c5e-b5d5-1fc939328557" targetNamespace="http://schemas.microsoft.com/office/2006/metadata/properties" ma:root="true" ma:fieldsID="fa5c69eb1ab36be3689b543fe7161763" ns2:_="" ns3:_="">
    <xsd:import namespace="8cfdda32-5548-4012-ac44-2b82cbd5939e"/>
    <xsd:import namespace="5fc4895e-a589-4c5e-b5d5-1fc9393285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dda32-5548-4012-ac44-2b82cbd59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0863835-2b19-48b8-b7f2-f4d5c2e126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895e-a589-4c5e-b5d5-1fc9393285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ba4566-2b3e-4553-b2f7-4fec71e0f367}" ma:internalName="TaxCatchAll" ma:showField="CatchAllData" ma:web="5fc4895e-a589-4c5e-b5d5-1fc9393285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fdda32-5548-4012-ac44-2b82cbd5939e">
      <Terms xmlns="http://schemas.microsoft.com/office/infopath/2007/PartnerControls"/>
    </lcf76f155ced4ddcb4097134ff3c332f>
    <TaxCatchAll xmlns="5fc4895e-a589-4c5e-b5d5-1fc93932855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F0849F-BD3C-476E-B86C-9BCC38478A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dda32-5548-4012-ac44-2b82cbd5939e"/>
    <ds:schemaRef ds:uri="5fc4895e-a589-4c5e-b5d5-1fc9393285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33A24B-731B-486B-B89E-1EB2C2FEE187}">
  <ds:schemaRefs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5fc4895e-a589-4c5e-b5d5-1fc939328557"/>
    <ds:schemaRef ds:uri="8cfdda32-5548-4012-ac44-2b82cbd5939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11BB65B-E243-4188-ADF7-2EBB63FCBC1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8bb7255-ca8f-4031-9fe2-0e4ff45a2146}" enabled="0" method="" siteId="{58bb7255-ca8f-4031-9fe2-0e4ff45a21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</vt:lpstr>
      <vt:lpstr>Quotation (2)</vt:lpstr>
      <vt:lpstr>Quotation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FATIMA INDE</dc:creator>
  <cp:keywords/>
  <dc:description/>
  <cp:lastModifiedBy>FATIMA INDE</cp:lastModifiedBy>
  <cp:revision/>
  <dcterms:created xsi:type="dcterms:W3CDTF">2025-12-08T03:23:09Z</dcterms:created>
  <dcterms:modified xsi:type="dcterms:W3CDTF">2026-01-20T03:42:19Z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0x010100E3E9DF10A2D3054A81DA473217733159</vt:lpwstr>
  </property>
  <property fmtid="{D5CDD505-2E9C-101B-9397-08002B2CF9AE}" pid="3" name="MediaServiceImageTags">
    <vt:lpwstr/>
  </property>
</Properties>
</file>