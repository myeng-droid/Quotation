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otation\"/>
    </mc:Choice>
  </mc:AlternateContent>
  <xr:revisionPtr revIDLastSave="0" documentId="13_ncr:1_{A079A637-86BC-464B-8976-B7DBBD051B3E}" xr6:coauthVersionLast="47" xr6:coauthVersionMax="47" xr10:uidLastSave="{00000000-0000-0000-0000-000000000000}"/>
  <bookViews>
    <workbookView xWindow="-110" yWindow="-110" windowWidth="19420" windowHeight="11500" activeTab="1" xr2:uid="{B7DAC374-8825-45DF-820F-9D268E41E67C}"/>
  </bookViews>
  <sheets>
    <sheet name="Sheet1" sheetId="1" r:id="rId1"/>
    <sheet name="Sheet3" sheetId="5" r:id="rId2"/>
    <sheet name="Sheet2" sheetId="2" r:id="rId3"/>
    <sheet name="Cost sheet" sheetId="3" r:id="rId4"/>
    <sheet name="ตัวอย่างหัวข้อที่ 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4" l="1"/>
  <c r="G22" i="4" s="1"/>
  <c r="G23" i="4" s="1"/>
  <c r="G24" i="4" s="1"/>
  <c r="E3" i="4"/>
  <c r="C12" i="1"/>
</calcChain>
</file>

<file path=xl/sharedStrings.xml><?xml version="1.0" encoding="utf-8"?>
<sst xmlns="http://schemas.openxmlformats.org/spreadsheetml/2006/main" count="205" uniqueCount="138">
  <si>
    <t>Cost Sheet</t>
  </si>
  <si>
    <t>Header</t>
  </si>
  <si>
    <t>Team</t>
  </si>
  <si>
    <t>A1-A8</t>
  </si>
  <si>
    <t xml:space="preserve"> - Discount Rate</t>
  </si>
  <si>
    <t xml:space="preserve"> + Premium Rate</t>
  </si>
  <si>
    <t>Shipment Date</t>
  </si>
  <si>
    <t>Spot Rate</t>
  </si>
  <si>
    <t>Freight</t>
  </si>
  <si>
    <t>Item</t>
  </si>
  <si>
    <t>ข้อมูลเอกสาร</t>
  </si>
  <si>
    <t>Document Date</t>
  </si>
  <si>
    <t>Document No.</t>
  </si>
  <si>
    <t>CS2601080001</t>
  </si>
  <si>
    <t>Currency</t>
  </si>
  <si>
    <t>USD</t>
  </si>
  <si>
    <t>Net Exchange Rate</t>
  </si>
  <si>
    <t>PACKAGING</t>
  </si>
  <si>
    <t>Overhead Group (0-6)</t>
  </si>
  <si>
    <t>Product RM</t>
  </si>
  <si>
    <t>Product Name</t>
  </si>
  <si>
    <t>ราคา RM</t>
  </si>
  <si>
    <t>สินค้าและวัตถุดิบ</t>
  </si>
  <si>
    <t>Product Item</t>
  </si>
  <si>
    <t>RM interest</t>
  </si>
  <si>
    <t>Overhead</t>
  </si>
  <si>
    <t>Export Expense</t>
  </si>
  <si>
    <t>Factory Expense</t>
  </si>
  <si>
    <t>Exchange Rate</t>
  </si>
  <si>
    <t>INCOTERM</t>
  </si>
  <si>
    <t>FOB</t>
  </si>
  <si>
    <t>Quantity</t>
  </si>
  <si>
    <t>Slip sheet</t>
  </si>
  <si>
    <t>AR interest</t>
  </si>
  <si>
    <t>STD/edit</t>
  </si>
  <si>
    <t>trade term</t>
  </si>
  <si>
    <t>WH storage</t>
  </si>
  <si>
    <t>Day</t>
  </si>
  <si>
    <t>Document Date.</t>
  </si>
  <si>
    <t>Incoterm</t>
  </si>
  <si>
    <t xml:space="preserve"> Exchange Rate</t>
  </si>
  <si>
    <t>อัตรา %ตามที่กำหนด</t>
  </si>
  <si>
    <t>จำนวนวันที่ระบุ</t>
  </si>
  <si>
    <t>มาจาก ยอดรวมของ  Quantity รายบรรทัด</t>
  </si>
  <si>
    <t>1.ค่าShipping  (ราคา/ตู้) *ราคาตามเงื่อนไขจำนวนตู้</t>
  </si>
  <si>
    <t>2.ค่าหัวลาก (ราคา 8,300 บาท/ตู้)</t>
  </si>
  <si>
    <t>3.ค่าตรวจสอบรมยา</t>
  </si>
  <si>
    <t>3.1 ค่าตรวจสอบ + รมยา ***​ (ราคา 1050 บาท/ตู้)</t>
  </si>
  <si>
    <t>3.2 ค่าพาหนะไปรมยา​ (ราคา 1350 /Invoice)</t>
  </si>
  <si>
    <t>4.1 ค่าพาหนะเจ้าหน้าที่เกษตร​ (ราคา 1000 /Invoice)</t>
  </si>
  <si>
    <t>4.ค่่าเอกสารส่งออก</t>
  </si>
  <si>
    <t>5.ค่าFREIGHT</t>
  </si>
  <si>
    <t>7.ค่าจัดทำเอกสาร​ (ราคา 5500/Invoice)</t>
  </si>
  <si>
    <t>4.2 อื่นๆ​เอกสารใบนุญาตจากหน่วยงานราชการ (ราคา 938 /Invoice)</t>
  </si>
  <si>
    <t>5.1 THC​ ค่าดำเนินการในท่าเรือ (ราคา 2800 บาm/ตู้)</t>
  </si>
  <si>
    <t>5.2 Seal​ ค่าอุปกรณ์ล๊อคประตูตู้ (ราคา 210 บาท/ตู้)</t>
  </si>
  <si>
    <t>5.3 B/L​ ค่าทำเอกสารส่งออกทางเรือ (ราคา 1300/Invoice)</t>
  </si>
  <si>
    <t>3.Export Expense **ค่าใช้จ่าย Export Expense เป็นค่าใช้จ่ายตามมาตรฐาน สามารถปรับได้ตามเกิดขึ้นจริง</t>
  </si>
  <si>
    <t>จำนวนตู้ส่งออก</t>
  </si>
  <si>
    <t>6.2 (CIF)  110%ตามยอดขายของ incoterm CIF</t>
  </si>
  <si>
    <t>6.1 (FOB ,CFR) 125%ตามยอดขายของ incoterm FOB</t>
  </si>
  <si>
    <t>6.ค่าเบี้ยประกันส่งออก คิดจากมาตรฐานข้าวหอมมะลิ</t>
  </si>
  <si>
    <t>Export  Expense</t>
  </si>
  <si>
    <t xml:space="preserve">Total Cost </t>
  </si>
  <si>
    <t xml:space="preserve">RM  Interest </t>
  </si>
  <si>
    <t xml:space="preserve">&amp; WH Storage </t>
  </si>
  <si>
    <t xml:space="preserve">AR  Interest </t>
  </si>
  <si>
    <t xml:space="preserve"> Item</t>
  </si>
  <si>
    <t>=Column M-L</t>
  </si>
  <si>
    <t>Freight </t>
  </si>
  <si>
    <t>=Column N-O-P-Q</t>
  </si>
  <si>
    <t>Selling Price</t>
  </si>
  <si>
    <t>Yield loss</t>
  </si>
  <si>
    <t>G3</t>
  </si>
  <si>
    <t>ราคา</t>
  </si>
  <si>
    <t>BY</t>
  </si>
  <si>
    <t>net</t>
  </si>
  <si>
    <t>Yield loss %</t>
  </si>
  <si>
    <t>Magin Cost</t>
  </si>
  <si>
    <t xml:space="preserve">Magin Cost After </t>
  </si>
  <si>
    <t>รายการค่าใช้จ่าย​</t>
  </si>
  <si>
    <t>เงื่อนไข​</t>
  </si>
  <si>
    <t>มูลค่า​</t>
  </si>
  <si>
    <t>หน่วย​</t>
  </si>
  <si>
    <t>ค่าหัวลาก 7,000 + ค่ายกตู้ผ่านท่า 1,300​</t>
  </si>
  <si>
    <t>ค่าขนย้าย-ส่งออก</t>
  </si>
  <si>
    <t>ค่าหัวลาก ผ่านท่า</t>
  </si>
  <si>
    <t>คิดตามจำนวนตู้ ตามระยะทาง/อัตราน้ำมัน​  
ลากจาก NL/WD (อัตราน้ำมัน @30 บาท)​</t>
  </si>
  <si>
    <t>8,300​</t>
  </si>
  <si>
    <t>ต่อตู้​</t>
  </si>
  <si>
    <t>ค่าตรวจสอบ + รมยา ***​</t>
  </si>
  <si>
    <t>ค่า Survey ส่งออก</t>
  </si>
  <si>
    <t>ค่าตรวจสอบรมยา</t>
  </si>
  <si>
    <t>คิดตามจำนวนตู้เป็น Growth Rate​</t>
  </si>
  <si>
    <t>1,050​</t>
  </si>
  <si>
    <t>ค่าพาหนะไปรมยา​</t>
  </si>
  <si>
    <t>คิดตามจำนวน Trip ที่ไปตรวจ​โรงงานนครหลวง</t>
  </si>
  <si>
    <t>1,350​</t>
  </si>
  <si>
    <t>ต่อ Inv​</t>
  </si>
  <si>
    <t>ค่าพาหนะเจ้าหน้าที่เกษตร​</t>
  </si>
  <si>
    <t>ค่าเอกสารส่งออก</t>
  </si>
  <si>
    <t>ค่าพาหนะจนท.เกษตร 1,000 + ค่าป่วยการใบรับรองปลอดศัตรูพืช 200 + HEALTH CERTIFICATE 300 + ค่าใบรับรองแหล่งกำเนิดสินค้า  208 + ค่าแบบพิมพ์/ค่าธรรมเนียม มส.24 120 + ค่าใบรับรองเอกสารสภาหอการค้า 230 + ค่าใบรับรองกรมการค้าต่างประเทศ 30</t>
  </si>
  <si>
    <t>อื่นๆ​เอกสารใบอนุญาตจากหน่วยงานราชการ</t>
  </si>
  <si>
    <t>ค่าป่วยการใบรับรองปลอดศัตรูพืช</t>
  </si>
  <si>
    <t>ค่าใบรับรองแหล่งกำเนิดสินค้า</t>
  </si>
  <si>
    <t>ค่าแบบพิมพ์/ค่าธรรมเนียม มส.24</t>
  </si>
  <si>
    <t>ค่าใบรับรองกรมการค้าต่างประเทศ</t>
  </si>
  <si>
    <t>THC​ ค่าดำเนินการในท่าเรือต้นทาง</t>
  </si>
  <si>
    <t>ค่าระวางส่งออก</t>
  </si>
  <si>
    <t xml:space="preserve">ค่า FREIGHT </t>
  </si>
  <si>
    <t>คิดตามจำนวนตู้​</t>
  </si>
  <si>
    <t>2,800​</t>
  </si>
  <si>
    <t>Seal​ ค่าอุปกรณ์ล๊อคประตูตู้</t>
  </si>
  <si>
    <t>B/L Fee ค่าเอกสาร B/L</t>
  </si>
  <si>
    <t>คิดตามจำนวน Invoice​</t>
  </si>
  <si>
    <t>Handling Charges ค่าดำเนินการ</t>
  </si>
  <si>
    <t>ค่าจัดทำเอกสาร​</t>
  </si>
  <si>
    <t>ค่าใช้จ่าย 3 สำนักต่อ Shipment​</t>
  </si>
  <si>
    <t>5,500​</t>
  </si>
  <si>
    <t>ค่าเบี้ยประกันส่งออก</t>
  </si>
  <si>
    <t>ตามเงื่อนไขการชำระเงิน Term FOB กับ CFR</t>
  </si>
  <si>
    <t>125% ต่อราคาขาย คูณด้วย 0.000098</t>
  </si>
  <si>
    <t>ตามเงื่อนไขการชำระเงิน Term CIF</t>
  </si>
  <si>
    <t>110% ต่อราคาขาย คูณด้วย 0.00049</t>
  </si>
  <si>
    <t xml:space="preserve">จำนวนตู้ / ใบขนสินค้าขาออก 1 ฉบับ </t>
  </si>
  <si>
    <t>Shipping​</t>
  </si>
  <si>
    <t>ค่าใช้จ่ายส่งออกอื่น</t>
  </si>
  <si>
    <t>ค่า Shipping</t>
  </si>
  <si>
    <t>ตู้ที่ 1 - 2</t>
  </si>
  <si>
    <t>1,400​</t>
  </si>
  <si>
    <t>ตู้ที่ 3 - 6</t>
  </si>
  <si>
    <t>ตู้ที่ 7 - 10</t>
  </si>
  <si>
    <t>ตู้ที่ 11 - 20</t>
  </si>
  <si>
    <t>ตู้ที่ 21 - 50</t>
  </si>
  <si>
    <t>ตู้ที่ 51  ขึ้นไป</t>
  </si>
  <si>
    <t>ค่า Freight</t>
  </si>
  <si>
    <t>ค่าหัวลากผ่านท่า</t>
  </si>
  <si>
    <t>ค่า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</si>
</sst>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B1mmm\-yy"/>
  </numFmts>
  <fonts count="21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charset val="22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1333F"/>
      <name val="Arial"/>
      <family val="2"/>
    </font>
    <font>
      <sz val="8"/>
      <color rgb="FF0D47A1"/>
      <name val="Arial"/>
      <family val="2"/>
    </font>
    <font>
      <sz val="8"/>
      <color rgb="FF0054A3"/>
      <name val="Arial"/>
      <family val="2"/>
    </font>
    <font>
      <sz val="8"/>
      <color rgb="FF31333F"/>
      <name val="Arial"/>
      <family val="2"/>
    </font>
    <font>
      <u/>
      <sz val="11"/>
      <color theme="10"/>
      <name val="Aptos Narrow"/>
      <family val="2"/>
      <charset val="222"/>
      <scheme val="minor"/>
    </font>
    <font>
      <sz val="11"/>
      <color rgb="FF0054A3"/>
      <name val="Arial"/>
      <family val="2"/>
    </font>
    <font>
      <sz val="10"/>
      <color rgb="FF31333F"/>
      <name val="Arial"/>
      <family val="2"/>
    </font>
    <font>
      <sz val="10"/>
      <color rgb="FF000000"/>
      <name val="Arial"/>
      <family val="2"/>
      <charset val="222"/>
    </font>
    <font>
      <sz val="10"/>
      <color rgb="FF000000"/>
      <name val="Aptos Narrow"/>
      <family val="2"/>
      <charset val="222"/>
      <scheme val="minor"/>
    </font>
    <font>
      <sz val="11"/>
      <color rgb="FF242424"/>
      <name val="Aptos Narrow"/>
      <charset val="1"/>
    </font>
    <font>
      <sz val="14"/>
      <color rgb="FF000000"/>
      <name val="Aptos Narrow"/>
      <family val="2"/>
      <scheme val="minor"/>
    </font>
    <font>
      <b/>
      <sz val="10"/>
      <color rgb="FF000000"/>
      <name val="Arial"/>
      <family val="2"/>
      <charset val="222"/>
    </font>
    <font>
      <b/>
      <sz val="10"/>
      <color theme="1"/>
      <name val="Aptos Narrow"/>
      <family val="2"/>
      <charset val="222"/>
      <scheme val="minor"/>
    </font>
    <font>
      <sz val="10"/>
      <color rgb="FF242424"/>
      <name val="Aptos Narrow"/>
      <family val="2"/>
    </font>
    <font>
      <sz val="10"/>
      <color theme="1"/>
      <name val="Aptos Narrow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0" fillId="0" borderId="0" xfId="2" applyAlignment="1">
      <alignment horizontal="left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  <xf numFmtId="4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0" fillId="2" borderId="0" xfId="0" applyFill="1" applyAlignment="1">
      <alignment wrapText="1"/>
    </xf>
    <xf numFmtId="0" fontId="13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0" borderId="1" xfId="2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Border="1"/>
    <xf numFmtId="0" fontId="14" fillId="2" borderId="0" xfId="0" applyFont="1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1" xfId="0" quotePrefix="1" applyBorder="1"/>
    <xf numFmtId="43" fontId="0" fillId="0" borderId="1" xfId="1" applyFont="1" applyBorder="1"/>
    <xf numFmtId="0" fontId="17" fillId="0" borderId="3" xfId="0" applyFont="1" applyBorder="1" applyAlignment="1">
      <alignment horizontal="left" wrapText="1"/>
    </xf>
    <xf numFmtId="0" fontId="17" fillId="0" borderId="4" xfId="0" applyFont="1" applyBorder="1" applyAlignment="1">
      <alignment horizontal="left" wrapText="1"/>
    </xf>
    <xf numFmtId="0" fontId="17" fillId="0" borderId="3" xfId="0" applyFont="1" applyBorder="1" applyAlignment="1">
      <alignment horizontal="right" wrapText="1"/>
    </xf>
    <xf numFmtId="0" fontId="18" fillId="0" borderId="0" xfId="0" applyFont="1"/>
    <xf numFmtId="0" fontId="13" fillId="3" borderId="5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right" vertical="center" wrapText="1"/>
    </xf>
    <xf numFmtId="0" fontId="19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3" fillId="4" borderId="3" xfId="0" applyFont="1" applyFill="1" applyBorder="1" applyAlignment="1">
      <alignment horizontal="left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right" wrapText="1"/>
    </xf>
    <xf numFmtId="0" fontId="20" fillId="4" borderId="0" xfId="0" applyFont="1" applyFill="1"/>
    <xf numFmtId="0" fontId="0" fillId="4" borderId="0" xfId="0" applyFill="1"/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 wrapText="1"/>
    </xf>
    <xf numFmtId="3" fontId="13" fillId="5" borderId="4" xfId="0" applyNumberFormat="1" applyFont="1" applyFill="1" applyBorder="1" applyAlignment="1">
      <alignment horizontal="right" vertical="center" wrapText="1"/>
    </xf>
    <xf numFmtId="0" fontId="13" fillId="5" borderId="4" xfId="0" applyFont="1" applyFill="1" applyBorder="1" applyAlignment="1">
      <alignment horizontal="right" vertical="center" wrapText="1"/>
    </xf>
    <xf numFmtId="0" fontId="20" fillId="5" borderId="0" xfId="0" applyFont="1" applyFill="1"/>
    <xf numFmtId="0" fontId="0" fillId="5" borderId="0" xfId="0" applyFill="1"/>
    <xf numFmtId="0" fontId="13" fillId="5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right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right" vertical="center" wrapText="1"/>
    </xf>
    <xf numFmtId="0" fontId="13" fillId="6" borderId="3" xfId="0" applyFont="1" applyFill="1" applyBorder="1" applyAlignment="1">
      <alignment horizontal="left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right" wrapText="1"/>
    </xf>
    <xf numFmtId="0" fontId="20" fillId="6" borderId="0" xfId="0" applyFont="1" applyFill="1"/>
    <xf numFmtId="0" fontId="0" fillId="6" borderId="0" xfId="0" applyFill="1"/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right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wrapText="1"/>
    </xf>
    <xf numFmtId="3" fontId="13" fillId="6" borderId="4" xfId="0" applyNumberFormat="1" applyFont="1" applyFill="1" applyBorder="1" applyAlignment="1">
      <alignment horizontal="right" wrapText="1"/>
    </xf>
    <xf numFmtId="0" fontId="13" fillId="6" borderId="4" xfId="0" applyFont="1" applyFill="1" applyBorder="1" applyAlignment="1">
      <alignment horizontal="right" wrapText="1"/>
    </xf>
    <xf numFmtId="0" fontId="13" fillId="7" borderId="4" xfId="0" applyFont="1" applyFill="1" applyBorder="1" applyAlignment="1">
      <alignment horizontal="left" wrapText="1"/>
    </xf>
    <xf numFmtId="0" fontId="13" fillId="7" borderId="4" xfId="0" applyFont="1" applyFill="1" applyBorder="1" applyAlignment="1">
      <alignment horizontal="right" wrapText="1"/>
    </xf>
    <xf numFmtId="0" fontId="20" fillId="7" borderId="0" xfId="0" applyFont="1" applyFill="1"/>
    <xf numFmtId="0" fontId="0" fillId="7" borderId="0" xfId="0" applyFill="1"/>
    <xf numFmtId="0" fontId="14" fillId="8" borderId="3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right"/>
    </xf>
    <xf numFmtId="0" fontId="20" fillId="8" borderId="0" xfId="0" applyFont="1" applyFill="1"/>
    <xf numFmtId="0" fontId="0" fillId="8" borderId="0" xfId="0" applyFill="1"/>
    <xf numFmtId="0" fontId="14" fillId="8" borderId="8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left"/>
    </xf>
    <xf numFmtId="0" fontId="15" fillId="9" borderId="0" xfId="0" applyFont="1" applyFill="1" applyAlignment="1">
      <alignment horizontal="center"/>
    </xf>
    <xf numFmtId="0" fontId="14" fillId="9" borderId="0" xfId="0" applyFont="1" applyFill="1" applyAlignment="1">
      <alignment horizontal="right"/>
    </xf>
    <xf numFmtId="0" fontId="20" fillId="9" borderId="0" xfId="0" applyFont="1" applyFill="1"/>
    <xf numFmtId="0" fontId="0" fillId="9" borderId="0" xfId="0" applyFill="1"/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right" wrapText="1"/>
    </xf>
    <xf numFmtId="0" fontId="20" fillId="0" borderId="0" xfId="0" applyFont="1"/>
    <xf numFmtId="0" fontId="13" fillId="0" borderId="7" xfId="0" applyFont="1" applyBorder="1" applyAlignment="1">
      <alignment horizontal="center" vertical="center" wrapText="1"/>
    </xf>
    <xf numFmtId="3" fontId="13" fillId="0" borderId="3" xfId="0" applyNumberFormat="1" applyFont="1" applyBorder="1" applyAlignment="1">
      <alignment horizontal="right" wrapText="1"/>
    </xf>
    <xf numFmtId="0" fontId="13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5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774700</xdr:colOff>
      <xdr:row>0</xdr:row>
      <xdr:rowOff>0</xdr:rowOff>
    </xdr:from>
    <xdr:to>
      <xdr:col>10</xdr:col>
      <xdr:colOff>271949</xdr:colOff>
      <xdr:row>22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339F2-5A69-48A3-B881-4A82A0858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800" y="0"/>
          <a:ext cx="3548549" cy="472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311150</xdr:colOff>
      <xdr:row>0</xdr:row>
      <xdr:rowOff>0</xdr:rowOff>
    </xdr:from>
    <xdr:to>
      <xdr:col>9</xdr:col>
      <xdr:colOff>641571</xdr:colOff>
      <xdr:row>27</xdr:row>
      <xdr:rowOff>57444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3C8197-4A46-FDF6-DFB0-0ECB295B8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2350" y="0"/>
          <a:ext cx="4292821" cy="5715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753D-A403-409F-9350-6D3022874ABD}">
  <sheetPr codeName="Sheet1"/>
  <dimension ref="A1:I61"/>
  <sheetViews>
    <sheetView topLeftCell="A6" zoomScale="110" zoomScaleNormal="110" workbookViewId="0">
      <selection activeCell="L11" sqref="L11"/>
    </sheetView>
  </sheetViews>
  <sheetFormatPr defaultRowHeight="16.5" x14ac:dyDescent="0.45"/>
  <cols>
    <col min="1" max="1" width="6.83203125" customWidth="1"/>
    <col min="2" max="2" width="14.58203125" customWidth="1"/>
    <col min="3" max="3" width="13" bestFit="1" customWidth="1"/>
    <col min="4" max="4" width="10.25" bestFit="1" customWidth="1"/>
    <col min="5" max="5" width="7.5" bestFit="1" customWidth="1"/>
    <col min="6" max="6" width="10.6640625" bestFit="1" customWidth="1"/>
    <col min="7" max="7" width="17.25" bestFit="1" customWidth="1"/>
    <col min="8" max="8" width="7.9140625" bestFit="1" customWidth="1"/>
  </cols>
  <sheetData>
    <row r="1" spans="1:5" ht="18.5" x14ac:dyDescent="0.45">
      <c r="A1" s="1" t="s">
        <v>0</v>
      </c>
    </row>
    <row r="2" spans="1:5" x14ac:dyDescent="0.45">
      <c r="A2" t="s">
        <v>1</v>
      </c>
    </row>
    <row r="3" spans="1:5" x14ac:dyDescent="0.45">
      <c r="A3">
        <v>1</v>
      </c>
      <c r="B3" s="3" t="s">
        <v>10</v>
      </c>
    </row>
    <row r="4" spans="1:5" x14ac:dyDescent="0.45">
      <c r="B4" t="s">
        <v>12</v>
      </c>
      <c r="C4" s="20" t="s">
        <v>13</v>
      </c>
      <c r="E4" s="2"/>
    </row>
    <row r="5" spans="1:5" x14ac:dyDescent="0.45">
      <c r="B5" t="s">
        <v>11</v>
      </c>
      <c r="C5" s="2">
        <v>46030</v>
      </c>
      <c r="E5" s="2"/>
    </row>
    <row r="6" spans="1:5" x14ac:dyDescent="0.45">
      <c r="B6" t="s">
        <v>2</v>
      </c>
      <c r="C6" s="20" t="s">
        <v>3</v>
      </c>
    </row>
    <row r="7" spans="1:5" x14ac:dyDescent="0.45">
      <c r="A7">
        <v>2</v>
      </c>
      <c r="B7" s="3" t="s">
        <v>28</v>
      </c>
      <c r="C7" s="20"/>
    </row>
    <row r="8" spans="1:5" x14ac:dyDescent="0.45">
      <c r="B8" t="s">
        <v>14</v>
      </c>
      <c r="C8" s="20" t="s">
        <v>15</v>
      </c>
    </row>
    <row r="9" spans="1:5" x14ac:dyDescent="0.45">
      <c r="B9" t="s">
        <v>7</v>
      </c>
      <c r="C9" s="21">
        <v>30.4</v>
      </c>
    </row>
    <row r="10" spans="1:5" x14ac:dyDescent="0.45">
      <c r="B10" t="s">
        <v>4</v>
      </c>
      <c r="C10" s="21">
        <v>0.2</v>
      </c>
    </row>
    <row r="11" spans="1:5" x14ac:dyDescent="0.45">
      <c r="B11" t="s">
        <v>5</v>
      </c>
      <c r="C11" s="20"/>
    </row>
    <row r="12" spans="1:5" x14ac:dyDescent="0.45">
      <c r="B12" t="s">
        <v>16</v>
      </c>
      <c r="C12" s="22">
        <f>C9-C10+C11</f>
        <v>30.2</v>
      </c>
    </row>
    <row r="13" spans="1:5" x14ac:dyDescent="0.45">
      <c r="A13">
        <v>3</v>
      </c>
      <c r="B13" t="s">
        <v>6</v>
      </c>
      <c r="C13" s="23">
        <v>46023</v>
      </c>
    </row>
    <row r="14" spans="1:5" x14ac:dyDescent="0.45">
      <c r="A14">
        <v>4</v>
      </c>
      <c r="B14" t="s">
        <v>29</v>
      </c>
      <c r="C14" s="20" t="s">
        <v>30</v>
      </c>
    </row>
    <row r="15" spans="1:5" x14ac:dyDescent="0.45">
      <c r="A15">
        <v>5</v>
      </c>
      <c r="B15" t="s">
        <v>8</v>
      </c>
      <c r="C15" s="20"/>
    </row>
    <row r="16" spans="1:5" x14ac:dyDescent="0.45">
      <c r="A16">
        <v>6</v>
      </c>
      <c r="B16" t="s">
        <v>26</v>
      </c>
      <c r="C16" s="20"/>
      <c r="E16" t="s">
        <v>32</v>
      </c>
    </row>
    <row r="17" spans="1:9" x14ac:dyDescent="0.45">
      <c r="A17">
        <v>7</v>
      </c>
      <c r="B17" t="s">
        <v>27</v>
      </c>
      <c r="C17" s="20"/>
    </row>
    <row r="18" spans="1:9" x14ac:dyDescent="0.45">
      <c r="A18">
        <v>8</v>
      </c>
      <c r="B18" t="s">
        <v>24</v>
      </c>
      <c r="C18" s="20"/>
      <c r="D18" t="s">
        <v>37</v>
      </c>
      <c r="E18" t="s">
        <v>34</v>
      </c>
    </row>
    <row r="19" spans="1:9" x14ac:dyDescent="0.45">
      <c r="A19">
        <v>9</v>
      </c>
      <c r="B19" t="s">
        <v>33</v>
      </c>
      <c r="C19" s="20"/>
      <c r="D19" t="s">
        <v>37</v>
      </c>
    </row>
    <row r="20" spans="1:9" x14ac:dyDescent="0.45">
      <c r="A20">
        <v>10</v>
      </c>
      <c r="B20" t="s">
        <v>35</v>
      </c>
      <c r="C20" s="20"/>
      <c r="D20" t="s">
        <v>37</v>
      </c>
    </row>
    <row r="21" spans="1:9" x14ac:dyDescent="0.45">
      <c r="A21">
        <v>11</v>
      </c>
      <c r="B21" t="s">
        <v>36</v>
      </c>
      <c r="C21" s="20"/>
      <c r="D21" t="s">
        <v>37</v>
      </c>
    </row>
    <row r="22" spans="1:9" x14ac:dyDescent="0.45">
      <c r="A22">
        <v>12</v>
      </c>
      <c r="B22" t="s">
        <v>31</v>
      </c>
    </row>
    <row r="23" spans="1:9" x14ac:dyDescent="0.45">
      <c r="A23" t="s">
        <v>9</v>
      </c>
    </row>
    <row r="24" spans="1:9" x14ac:dyDescent="0.45">
      <c r="A24">
        <v>1</v>
      </c>
      <c r="B24" t="s">
        <v>22</v>
      </c>
    </row>
    <row r="25" spans="1:9" x14ac:dyDescent="0.45">
      <c r="B25" t="s">
        <v>23</v>
      </c>
      <c r="C25" t="s">
        <v>20</v>
      </c>
      <c r="D25" t="s">
        <v>19</v>
      </c>
      <c r="E25" t="s">
        <v>21</v>
      </c>
      <c r="F25" t="s">
        <v>17</v>
      </c>
      <c r="G25" s="18" t="s">
        <v>18</v>
      </c>
      <c r="H25" s="18" t="s">
        <v>25</v>
      </c>
      <c r="I25" t="s">
        <v>31</v>
      </c>
    </row>
    <row r="26" spans="1:9" x14ac:dyDescent="0.45">
      <c r="B26" s="19">
        <v>1</v>
      </c>
      <c r="C26">
        <v>1</v>
      </c>
    </row>
    <row r="27" spans="1:9" x14ac:dyDescent="0.45">
      <c r="B27" s="19">
        <v>2</v>
      </c>
      <c r="C27">
        <v>2</v>
      </c>
    </row>
    <row r="28" spans="1:9" x14ac:dyDescent="0.45">
      <c r="B28" s="19">
        <v>3</v>
      </c>
    </row>
    <row r="29" spans="1:9" x14ac:dyDescent="0.45">
      <c r="B29" s="19">
        <v>4</v>
      </c>
    </row>
    <row r="30" spans="1:9" x14ac:dyDescent="0.45">
      <c r="B30" s="19">
        <v>5</v>
      </c>
    </row>
    <row r="31" spans="1:9" x14ac:dyDescent="0.45">
      <c r="B31" s="19">
        <v>6</v>
      </c>
    </row>
    <row r="32" spans="1:9" x14ac:dyDescent="0.45">
      <c r="B32" s="19">
        <v>7</v>
      </c>
    </row>
    <row r="33" spans="1:5" x14ac:dyDescent="0.45">
      <c r="B33" s="19">
        <v>8</v>
      </c>
    </row>
    <row r="34" spans="1:5" x14ac:dyDescent="0.45">
      <c r="B34" s="19">
        <v>9</v>
      </c>
    </row>
    <row r="35" spans="1:5" x14ac:dyDescent="0.45">
      <c r="A35" s="5"/>
      <c r="B35" s="19">
        <v>10</v>
      </c>
      <c r="D35" s="9"/>
      <c r="E35" s="16"/>
    </row>
    <row r="36" spans="1:5" x14ac:dyDescent="0.45">
      <c r="A36" s="6"/>
      <c r="B36" s="19">
        <v>11</v>
      </c>
      <c r="D36" s="10"/>
      <c r="E36" s="6"/>
    </row>
    <row r="37" spans="1:5" x14ac:dyDescent="0.45">
      <c r="A37" s="7"/>
      <c r="B37" s="19">
        <v>12</v>
      </c>
      <c r="D37" s="11"/>
      <c r="E37" s="7"/>
    </row>
    <row r="38" spans="1:5" x14ac:dyDescent="0.45">
      <c r="A38" s="4"/>
      <c r="B38" s="19">
        <v>13</v>
      </c>
      <c r="D38" s="10"/>
      <c r="E38" s="17"/>
    </row>
    <row r="39" spans="1:5" x14ac:dyDescent="0.45">
      <c r="A39" s="5"/>
      <c r="B39" s="19">
        <v>14</v>
      </c>
      <c r="D39" s="12"/>
      <c r="E39" s="17"/>
    </row>
    <row r="40" spans="1:5" x14ac:dyDescent="0.45">
      <c r="A40" s="6"/>
      <c r="B40" s="19">
        <v>15</v>
      </c>
      <c r="D40" s="13"/>
      <c r="E40" s="7"/>
    </row>
    <row r="41" spans="1:5" x14ac:dyDescent="0.45">
      <c r="A41" s="7"/>
      <c r="D41" s="14"/>
      <c r="E41" s="7"/>
    </row>
    <row r="42" spans="1:5" x14ac:dyDescent="0.45">
      <c r="A42" s="4"/>
      <c r="D42" s="8"/>
      <c r="E42" s="17"/>
    </row>
    <row r="43" spans="1:5" x14ac:dyDescent="0.45">
      <c r="A43" s="5"/>
      <c r="D43" s="15"/>
      <c r="E43" s="17"/>
    </row>
    <row r="44" spans="1:5" x14ac:dyDescent="0.45">
      <c r="A44" s="6"/>
      <c r="D44" s="8"/>
      <c r="E44" s="7"/>
    </row>
    <row r="45" spans="1:5" x14ac:dyDescent="0.45">
      <c r="A45" s="7"/>
      <c r="D45" s="15"/>
    </row>
    <row r="46" spans="1:5" x14ac:dyDescent="0.45">
      <c r="A46" s="4"/>
      <c r="D46" s="10"/>
    </row>
    <row r="47" spans="1:5" x14ac:dyDescent="0.45">
      <c r="A47" s="5"/>
      <c r="D47" s="11"/>
    </row>
    <row r="48" spans="1:5" x14ac:dyDescent="0.45">
      <c r="A48" s="6"/>
      <c r="D48" s="10"/>
    </row>
    <row r="49" spans="1:4" x14ac:dyDescent="0.45">
      <c r="A49" s="7"/>
      <c r="D49" s="12"/>
    </row>
    <row r="50" spans="1:4" x14ac:dyDescent="0.45">
      <c r="D50" s="12"/>
    </row>
    <row r="51" spans="1:4" x14ac:dyDescent="0.45">
      <c r="D51" s="12"/>
    </row>
    <row r="52" spans="1:4" x14ac:dyDescent="0.45">
      <c r="D52" s="12"/>
    </row>
    <row r="53" spans="1:4" x14ac:dyDescent="0.45">
      <c r="D53" s="12"/>
    </row>
    <row r="54" spans="1:4" x14ac:dyDescent="0.45">
      <c r="D54" s="10"/>
    </row>
    <row r="55" spans="1:4" x14ac:dyDescent="0.45">
      <c r="D55" s="11"/>
    </row>
    <row r="56" spans="1:4" x14ac:dyDescent="0.45">
      <c r="D56" s="10"/>
    </row>
    <row r="57" spans="1:4" x14ac:dyDescent="0.45">
      <c r="D57" s="12"/>
    </row>
    <row r="58" spans="1:4" x14ac:dyDescent="0.45">
      <c r="D58" s="12"/>
    </row>
    <row r="59" spans="1:4" x14ac:dyDescent="0.45">
      <c r="D59" s="12"/>
    </row>
    <row r="60" spans="1:4" x14ac:dyDescent="0.45">
      <c r="D60" s="12"/>
    </row>
    <row r="61" spans="1:4" x14ac:dyDescent="0.45">
      <c r="D61" s="12"/>
    </row>
  </sheetData>
  <pageMargins left="0.70866141732283472" right="0.70866141732283472" top="0.36" bottom="0.34" header="0.31496062992125984" footer="0.31496062992125984"/>
  <pageSetup paperSize="9" scale="85" orientation="landscape" copies="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CA2D-3F6F-4EF9-8C87-1C1C92CB20F6}">
  <dimension ref="A1:G36"/>
  <sheetViews>
    <sheetView tabSelected="1" workbookViewId="0">
      <selection sqref="A1:XFD1048576"/>
    </sheetView>
  </sheetViews>
  <sheetFormatPr defaultColWidth="23.58203125" defaultRowHeight="16.5" x14ac:dyDescent="0.45"/>
  <cols>
    <col min="1" max="1" width="38.58203125" style="112" customWidth="1"/>
    <col min="2" max="2" width="33.08203125" customWidth="1"/>
    <col min="3" max="3" width="38.58203125" customWidth="1"/>
    <col min="4" max="4" width="46.58203125" customWidth="1"/>
    <col min="5" max="5" width="18.25" customWidth="1"/>
    <col min="6" max="6" width="27" customWidth="1"/>
  </cols>
  <sheetData>
    <row r="1" spans="1:7" x14ac:dyDescent="0.45">
      <c r="A1" s="46" t="s">
        <v>80</v>
      </c>
      <c r="B1" s="47"/>
      <c r="C1" s="46"/>
      <c r="D1" s="46" t="s">
        <v>81</v>
      </c>
      <c r="E1" s="48" t="s">
        <v>82</v>
      </c>
      <c r="F1" s="48" t="s">
        <v>83</v>
      </c>
      <c r="G1" s="49"/>
    </row>
    <row r="2" spans="1:7" s="56" customFormat="1" ht="25" x14ac:dyDescent="0.45">
      <c r="A2" s="50" t="s">
        <v>84</v>
      </c>
      <c r="B2" s="51" t="s">
        <v>85</v>
      </c>
      <c r="C2" s="52" t="s">
        <v>86</v>
      </c>
      <c r="D2" s="53" t="s">
        <v>87</v>
      </c>
      <c r="E2" s="54" t="s">
        <v>88</v>
      </c>
      <c r="F2" s="54" t="s">
        <v>89</v>
      </c>
      <c r="G2" s="55"/>
    </row>
    <row r="3" spans="1:7" s="61" customFormat="1" x14ac:dyDescent="0.45">
      <c r="A3" s="57" t="s">
        <v>90</v>
      </c>
      <c r="B3" s="58" t="s">
        <v>91</v>
      </c>
      <c r="C3" s="58" t="s">
        <v>92</v>
      </c>
      <c r="D3" s="57" t="s">
        <v>93</v>
      </c>
      <c r="E3" s="59" t="s">
        <v>94</v>
      </c>
      <c r="F3" s="59" t="s">
        <v>89</v>
      </c>
      <c r="G3" s="60"/>
    </row>
    <row r="4" spans="1:7" s="61" customFormat="1" x14ac:dyDescent="0.45">
      <c r="A4" s="57"/>
      <c r="B4" s="62"/>
      <c r="C4" s="62"/>
      <c r="D4" s="57"/>
      <c r="E4" s="59"/>
      <c r="F4" s="59"/>
      <c r="G4" s="60"/>
    </row>
    <row r="5" spans="1:7" s="61" customFormat="1" x14ac:dyDescent="0.45">
      <c r="A5" s="57" t="s">
        <v>95</v>
      </c>
      <c r="B5" s="63"/>
      <c r="C5" s="63"/>
      <c r="D5" s="57" t="s">
        <v>96</v>
      </c>
      <c r="E5" s="59" t="s">
        <v>97</v>
      </c>
      <c r="F5" s="59" t="s">
        <v>98</v>
      </c>
      <c r="G5" s="60"/>
    </row>
    <row r="6" spans="1:7" s="70" customFormat="1" x14ac:dyDescent="0.45">
      <c r="A6" s="64" t="s">
        <v>99</v>
      </c>
      <c r="B6" s="65" t="s">
        <v>100</v>
      </c>
      <c r="C6" s="65" t="s">
        <v>100</v>
      </c>
      <c r="D6" s="66" t="s">
        <v>101</v>
      </c>
      <c r="E6" s="67">
        <v>2088</v>
      </c>
      <c r="F6" s="68" t="s">
        <v>98</v>
      </c>
      <c r="G6" s="69"/>
    </row>
    <row r="7" spans="1:7" s="70" customFormat="1" x14ac:dyDescent="0.45">
      <c r="A7" s="64" t="s">
        <v>102</v>
      </c>
      <c r="B7" s="71"/>
      <c r="C7" s="71"/>
      <c r="D7" s="72"/>
      <c r="E7" s="73"/>
      <c r="F7" s="73"/>
      <c r="G7" s="69"/>
    </row>
    <row r="8" spans="1:7" s="70" customFormat="1" x14ac:dyDescent="0.45">
      <c r="A8" s="64" t="s">
        <v>103</v>
      </c>
      <c r="B8" s="71"/>
      <c r="C8" s="71"/>
      <c r="D8" s="72"/>
      <c r="E8" s="73"/>
      <c r="F8" s="73"/>
      <c r="G8" s="69"/>
    </row>
    <row r="9" spans="1:7" s="70" customFormat="1" x14ac:dyDescent="0.45">
      <c r="A9" s="64" t="s">
        <v>104</v>
      </c>
      <c r="B9" s="71"/>
      <c r="C9" s="71"/>
      <c r="D9" s="72"/>
      <c r="E9" s="73"/>
      <c r="F9" s="73"/>
      <c r="G9" s="69"/>
    </row>
    <row r="10" spans="1:7" s="70" customFormat="1" x14ac:dyDescent="0.45">
      <c r="A10" s="64" t="s">
        <v>105</v>
      </c>
      <c r="B10" s="71"/>
      <c r="C10" s="71"/>
      <c r="D10" s="72"/>
      <c r="E10" s="73"/>
      <c r="F10" s="73"/>
      <c r="G10" s="69"/>
    </row>
    <row r="11" spans="1:7" s="70" customFormat="1" x14ac:dyDescent="0.45">
      <c r="A11" s="64" t="s">
        <v>106</v>
      </c>
      <c r="B11" s="71"/>
      <c r="C11" s="71"/>
      <c r="D11" s="72"/>
      <c r="E11" s="73"/>
      <c r="F11" s="73"/>
      <c r="G11" s="69"/>
    </row>
    <row r="12" spans="1:7" s="70" customFormat="1" x14ac:dyDescent="0.45">
      <c r="A12" s="64"/>
      <c r="B12" s="74"/>
      <c r="C12" s="74"/>
      <c r="D12" s="75"/>
      <c r="E12" s="76"/>
      <c r="F12" s="76"/>
      <c r="G12" s="69"/>
    </row>
    <row r="13" spans="1:7" s="81" customFormat="1" x14ac:dyDescent="0.45">
      <c r="A13" s="77" t="s">
        <v>107</v>
      </c>
      <c r="B13" s="78" t="s">
        <v>108</v>
      </c>
      <c r="C13" s="78" t="s">
        <v>109</v>
      </c>
      <c r="D13" s="77" t="s">
        <v>110</v>
      </c>
      <c r="E13" s="79" t="s">
        <v>111</v>
      </c>
      <c r="F13" s="79" t="s">
        <v>89</v>
      </c>
      <c r="G13" s="80"/>
    </row>
    <row r="14" spans="1:7" s="81" customFormat="1" x14ac:dyDescent="0.45">
      <c r="A14" s="77" t="s">
        <v>112</v>
      </c>
      <c r="B14" s="82"/>
      <c r="C14" s="82"/>
      <c r="D14" s="77" t="s">
        <v>110</v>
      </c>
      <c r="E14" s="79">
        <v>300</v>
      </c>
      <c r="F14" s="79" t="s">
        <v>89</v>
      </c>
      <c r="G14" s="80"/>
    </row>
    <row r="15" spans="1:7" s="81" customFormat="1" x14ac:dyDescent="0.45">
      <c r="A15" s="77" t="s">
        <v>113</v>
      </c>
      <c r="B15" s="83"/>
      <c r="C15" s="83"/>
      <c r="D15" s="77" t="s">
        <v>114</v>
      </c>
      <c r="E15" s="84">
        <v>2000</v>
      </c>
      <c r="F15" s="79" t="s">
        <v>98</v>
      </c>
      <c r="G15" s="80"/>
    </row>
    <row r="16" spans="1:7" s="81" customFormat="1" x14ac:dyDescent="0.45">
      <c r="A16" s="77" t="s">
        <v>115</v>
      </c>
      <c r="B16" s="85"/>
      <c r="C16" s="85"/>
      <c r="D16" s="86"/>
      <c r="E16" s="87">
        <v>1000</v>
      </c>
      <c r="F16" s="88"/>
      <c r="G16" s="80"/>
    </row>
    <row r="17" spans="1:7" s="92" customFormat="1" x14ac:dyDescent="0.45">
      <c r="A17" s="89" t="s">
        <v>116</v>
      </c>
      <c r="B17" s="89"/>
      <c r="C17" s="89"/>
      <c r="D17" s="89" t="s">
        <v>117</v>
      </c>
      <c r="E17" s="90" t="s">
        <v>118</v>
      </c>
      <c r="F17" s="90" t="s">
        <v>98</v>
      </c>
      <c r="G17" s="91"/>
    </row>
    <row r="18" spans="1:7" s="97" customFormat="1" ht="15" customHeight="1" x14ac:dyDescent="0.45">
      <c r="A18" s="93" t="s">
        <v>119</v>
      </c>
      <c r="B18" s="94" t="s">
        <v>119</v>
      </c>
      <c r="C18" s="94" t="s">
        <v>119</v>
      </c>
      <c r="D18" s="93" t="s">
        <v>120</v>
      </c>
      <c r="E18" s="95"/>
      <c r="F18" s="95" t="s">
        <v>121</v>
      </c>
      <c r="G18" s="96"/>
    </row>
    <row r="19" spans="1:7" s="97" customFormat="1" ht="13.5" customHeight="1" x14ac:dyDescent="0.45">
      <c r="A19" s="93"/>
      <c r="B19" s="98"/>
      <c r="C19" s="98"/>
      <c r="D19" s="93" t="s">
        <v>122</v>
      </c>
      <c r="E19" s="95"/>
      <c r="F19" s="95" t="s">
        <v>123</v>
      </c>
      <c r="G19" s="96"/>
    </row>
    <row r="20" spans="1:7" s="103" customFormat="1" x14ac:dyDescent="0.45">
      <c r="A20" s="99"/>
      <c r="B20" s="99"/>
      <c r="C20" s="100"/>
      <c r="D20" s="99"/>
      <c r="E20" s="101"/>
      <c r="F20" s="101"/>
      <c r="G20" s="102"/>
    </row>
    <row r="21" spans="1:7" x14ac:dyDescent="0.45">
      <c r="A21" s="46" t="s">
        <v>80</v>
      </c>
      <c r="B21" s="46"/>
      <c r="C21" s="46"/>
      <c r="D21" s="46" t="s">
        <v>124</v>
      </c>
      <c r="E21" s="48" t="s">
        <v>82</v>
      </c>
      <c r="F21" s="48" t="s">
        <v>83</v>
      </c>
      <c r="G21" s="49"/>
    </row>
    <row r="22" spans="1:7" x14ac:dyDescent="0.45">
      <c r="A22" s="104" t="s">
        <v>125</v>
      </c>
      <c r="B22" s="105" t="s">
        <v>126</v>
      </c>
      <c r="C22" s="105" t="s">
        <v>127</v>
      </c>
      <c r="D22" s="106" t="s">
        <v>128</v>
      </c>
      <c r="E22" s="107" t="s">
        <v>129</v>
      </c>
      <c r="F22" s="107" t="s">
        <v>89</v>
      </c>
      <c r="G22" s="108"/>
    </row>
    <row r="23" spans="1:7" x14ac:dyDescent="0.45">
      <c r="A23" s="104"/>
      <c r="B23" s="109"/>
      <c r="C23" s="109"/>
      <c r="D23" s="106" t="s">
        <v>130</v>
      </c>
      <c r="E23" s="110">
        <v>1000</v>
      </c>
      <c r="F23" s="107" t="s">
        <v>89</v>
      </c>
      <c r="G23" s="108"/>
    </row>
    <row r="24" spans="1:7" x14ac:dyDescent="0.45">
      <c r="A24" s="104"/>
      <c r="B24" s="109"/>
      <c r="C24" s="109"/>
      <c r="D24" s="106" t="s">
        <v>131</v>
      </c>
      <c r="E24" s="107">
        <v>800</v>
      </c>
      <c r="F24" s="107" t="s">
        <v>89</v>
      </c>
      <c r="G24" s="108"/>
    </row>
    <row r="25" spans="1:7" x14ac:dyDescent="0.45">
      <c r="A25" s="104"/>
      <c r="B25" s="109"/>
      <c r="C25" s="109"/>
      <c r="D25" s="106" t="s">
        <v>132</v>
      </c>
      <c r="E25" s="107">
        <v>600</v>
      </c>
      <c r="F25" s="107" t="s">
        <v>89</v>
      </c>
      <c r="G25" s="108"/>
    </row>
    <row r="26" spans="1:7" x14ac:dyDescent="0.45">
      <c r="A26" s="104"/>
      <c r="B26" s="109"/>
      <c r="C26" s="109"/>
      <c r="D26" s="106" t="s">
        <v>133</v>
      </c>
      <c r="E26" s="107">
        <v>500</v>
      </c>
      <c r="F26" s="107" t="s">
        <v>89</v>
      </c>
      <c r="G26" s="108"/>
    </row>
    <row r="27" spans="1:7" x14ac:dyDescent="0.45">
      <c r="A27" s="104"/>
      <c r="B27" s="111"/>
      <c r="C27" s="111"/>
      <c r="D27" s="106" t="s">
        <v>134</v>
      </c>
      <c r="E27" s="107">
        <v>400</v>
      </c>
      <c r="F27" s="107" t="s">
        <v>89</v>
      </c>
      <c r="G27" s="108"/>
    </row>
    <row r="30" spans="1:7" x14ac:dyDescent="0.45">
      <c r="A30" s="112" t="s">
        <v>108</v>
      </c>
      <c r="C30" t="s">
        <v>135</v>
      </c>
    </row>
    <row r="31" spans="1:7" x14ac:dyDescent="0.45">
      <c r="A31" s="112" t="s">
        <v>85</v>
      </c>
      <c r="C31" s="113" t="s">
        <v>136</v>
      </c>
    </row>
    <row r="32" spans="1:7" x14ac:dyDescent="0.45">
      <c r="A32" s="112" t="s">
        <v>91</v>
      </c>
      <c r="C32" s="113" t="s">
        <v>92</v>
      </c>
    </row>
    <row r="33" spans="1:3" x14ac:dyDescent="0.45">
      <c r="A33" s="112" t="s">
        <v>119</v>
      </c>
      <c r="C33" t="s">
        <v>119</v>
      </c>
    </row>
    <row r="34" spans="1:3" x14ac:dyDescent="0.45">
      <c r="A34" s="112" t="s">
        <v>137</v>
      </c>
      <c r="C34" t="s">
        <v>137</v>
      </c>
    </row>
    <row r="35" spans="1:3" x14ac:dyDescent="0.45">
      <c r="A35" s="112" t="s">
        <v>100</v>
      </c>
      <c r="C35" t="s">
        <v>100</v>
      </c>
    </row>
    <row r="36" spans="1:3" x14ac:dyDescent="0.45">
      <c r="A36" s="112" t="s">
        <v>126</v>
      </c>
      <c r="C36" t="s">
        <v>127</v>
      </c>
    </row>
  </sheetData>
  <mergeCells count="14">
    <mergeCell ref="F6:F12"/>
    <mergeCell ref="B13:B15"/>
    <mergeCell ref="C13:C15"/>
    <mergeCell ref="B18:B19"/>
    <mergeCell ref="C18:C19"/>
    <mergeCell ref="A22:A27"/>
    <mergeCell ref="B22:B27"/>
    <mergeCell ref="C22:C27"/>
    <mergeCell ref="B3:B5"/>
    <mergeCell ref="C3:C5"/>
    <mergeCell ref="B6:B12"/>
    <mergeCell ref="C6:C12"/>
    <mergeCell ref="D6:D12"/>
    <mergeCell ref="E6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E646-50F7-4F6F-9B85-FF4F7068F2A8}">
  <dimension ref="A1"/>
  <sheetViews>
    <sheetView topLeftCell="A7" workbookViewId="0"/>
  </sheetViews>
  <sheetFormatPr defaultRowHeight="16.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A407-91BD-4FCE-8112-1CBF3E1FFDF2}">
  <dimension ref="A1:P43"/>
  <sheetViews>
    <sheetView topLeftCell="E3" workbookViewId="0">
      <selection activeCell="F7" sqref="F7"/>
    </sheetView>
  </sheetViews>
  <sheetFormatPr defaultRowHeight="16.5" x14ac:dyDescent="0.45"/>
  <cols>
    <col min="1" max="1" width="6.9140625" customWidth="1"/>
    <col min="2" max="2" width="14.4140625" bestFit="1" customWidth="1"/>
    <col min="3" max="3" width="1.6640625" customWidth="1"/>
    <col min="4" max="4" width="16.33203125" customWidth="1"/>
    <col min="5" max="5" width="1.4140625" customWidth="1"/>
    <col min="6" max="6" width="14.9140625" customWidth="1"/>
    <col min="7" max="7" width="1.4140625" customWidth="1"/>
    <col min="8" max="8" width="45.25" customWidth="1"/>
    <col min="9" max="9" width="1.5" customWidth="1"/>
    <col min="10" max="10" width="11.75" customWidth="1"/>
    <col min="11" max="11" width="1.75" customWidth="1"/>
    <col min="12" max="12" width="17.25" bestFit="1" customWidth="1"/>
    <col min="13" max="13" width="1.6640625" customWidth="1"/>
    <col min="14" max="14" width="15.33203125" customWidth="1"/>
    <col min="15" max="15" width="1.58203125" customWidth="1"/>
    <col min="16" max="16" width="18.6640625" customWidth="1"/>
  </cols>
  <sheetData>
    <row r="1" spans="1:16" ht="18.5" x14ac:dyDescent="0.45">
      <c r="A1" s="1"/>
      <c r="B1" s="43" t="s">
        <v>0</v>
      </c>
    </row>
    <row r="3" spans="1:16" x14ac:dyDescent="0.45">
      <c r="B3" s="25" t="s">
        <v>12</v>
      </c>
      <c r="D3" s="25"/>
      <c r="F3" s="25" t="s">
        <v>38</v>
      </c>
      <c r="H3" s="25"/>
    </row>
    <row r="4" spans="1:16" x14ac:dyDescent="0.45">
      <c r="B4" s="25" t="s">
        <v>2</v>
      </c>
      <c r="D4" s="25"/>
      <c r="F4" s="25" t="s">
        <v>39</v>
      </c>
      <c r="H4" s="25"/>
    </row>
    <row r="5" spans="1:16" x14ac:dyDescent="0.45">
      <c r="B5" s="25" t="s">
        <v>31</v>
      </c>
      <c r="D5" s="25" t="s">
        <v>43</v>
      </c>
      <c r="E5" s="24"/>
      <c r="F5" s="25" t="s">
        <v>6</v>
      </c>
      <c r="H5" s="25"/>
    </row>
    <row r="6" spans="1:16" x14ac:dyDescent="0.45">
      <c r="E6" s="24"/>
    </row>
    <row r="7" spans="1:16" x14ac:dyDescent="0.45">
      <c r="B7" s="25" t="s">
        <v>14</v>
      </c>
      <c r="D7" s="25"/>
      <c r="F7" s="25" t="s">
        <v>57</v>
      </c>
    </row>
    <row r="8" spans="1:16" x14ac:dyDescent="0.45">
      <c r="B8" s="25" t="s">
        <v>7</v>
      </c>
      <c r="D8" s="25"/>
      <c r="F8" s="25" t="s">
        <v>44</v>
      </c>
      <c r="H8" s="28"/>
      <c r="J8" s="25"/>
    </row>
    <row r="9" spans="1:16" x14ac:dyDescent="0.45">
      <c r="B9" s="25" t="s">
        <v>4</v>
      </c>
      <c r="D9" s="25"/>
      <c r="F9" s="25" t="s">
        <v>45</v>
      </c>
      <c r="H9" s="28"/>
      <c r="J9" s="25"/>
    </row>
    <row r="10" spans="1:16" x14ac:dyDescent="0.45">
      <c r="B10" s="25" t="s">
        <v>5</v>
      </c>
      <c r="D10" s="25"/>
      <c r="F10" s="25" t="s">
        <v>46</v>
      </c>
      <c r="H10" s="28" t="s">
        <v>47</v>
      </c>
      <c r="I10" s="29"/>
      <c r="J10" s="25"/>
    </row>
    <row r="11" spans="1:16" x14ac:dyDescent="0.45">
      <c r="B11" s="25" t="s">
        <v>40</v>
      </c>
      <c r="D11" s="25"/>
      <c r="F11" s="25"/>
      <c r="H11" s="28" t="s">
        <v>48</v>
      </c>
      <c r="I11" s="29"/>
      <c r="J11" s="25"/>
    </row>
    <row r="12" spans="1:16" x14ac:dyDescent="0.45">
      <c r="B12" s="25" t="s">
        <v>8</v>
      </c>
      <c r="D12" s="25"/>
      <c r="F12" s="25" t="s">
        <v>50</v>
      </c>
      <c r="H12" s="28" t="s">
        <v>49</v>
      </c>
      <c r="I12" s="29"/>
      <c r="J12" s="25"/>
    </row>
    <row r="13" spans="1:16" ht="33" x14ac:dyDescent="0.45">
      <c r="B13" s="25" t="s">
        <v>27</v>
      </c>
      <c r="D13" s="25"/>
      <c r="F13" s="25"/>
      <c r="H13" s="28" t="s">
        <v>53</v>
      </c>
      <c r="I13" s="29"/>
      <c r="J13" s="25"/>
    </row>
    <row r="14" spans="1:16" x14ac:dyDescent="0.45">
      <c r="B14" s="25" t="s">
        <v>58</v>
      </c>
      <c r="D14" s="25"/>
      <c r="F14" s="25" t="s">
        <v>51</v>
      </c>
      <c r="H14" s="28" t="s">
        <v>54</v>
      </c>
      <c r="I14" s="29"/>
      <c r="J14" s="25"/>
    </row>
    <row r="15" spans="1:16" x14ac:dyDescent="0.45">
      <c r="F15" s="25"/>
      <c r="H15" s="28" t="s">
        <v>55</v>
      </c>
      <c r="I15" s="29"/>
      <c r="J15" s="38"/>
      <c r="N15" s="26"/>
      <c r="O15" s="26"/>
      <c r="P15" s="27"/>
    </row>
    <row r="16" spans="1:16" x14ac:dyDescent="0.45">
      <c r="F16" s="25"/>
      <c r="H16" s="28" t="s">
        <v>56</v>
      </c>
      <c r="I16" s="29"/>
      <c r="J16" s="38"/>
      <c r="N16" s="26"/>
      <c r="O16" s="26"/>
      <c r="P16" s="27"/>
    </row>
    <row r="17" spans="2:16" x14ac:dyDescent="0.45">
      <c r="F17" s="25" t="s">
        <v>61</v>
      </c>
      <c r="H17" s="28" t="s">
        <v>60</v>
      </c>
      <c r="J17" s="38"/>
      <c r="N17" s="26"/>
      <c r="O17" s="26"/>
      <c r="P17" s="27"/>
    </row>
    <row r="18" spans="2:16" x14ac:dyDescent="0.45">
      <c r="F18" s="25"/>
      <c r="H18" s="28" t="s">
        <v>59</v>
      </c>
      <c r="J18" s="38"/>
      <c r="N18" s="26"/>
      <c r="O18" s="26"/>
      <c r="P18" s="27"/>
    </row>
    <row r="19" spans="2:16" x14ac:dyDescent="0.45">
      <c r="F19" s="25" t="s">
        <v>52</v>
      </c>
      <c r="H19" s="28"/>
      <c r="J19" s="38"/>
      <c r="N19" s="26"/>
      <c r="O19" s="26"/>
      <c r="P19" s="27"/>
    </row>
    <row r="20" spans="2:16" x14ac:dyDescent="0.45">
      <c r="N20" s="26"/>
      <c r="O20" s="26"/>
      <c r="P20" s="27"/>
    </row>
    <row r="21" spans="2:16" x14ac:dyDescent="0.45">
      <c r="N21" s="26"/>
      <c r="O21" s="26"/>
      <c r="P21" s="27"/>
    </row>
    <row r="22" spans="2:16" x14ac:dyDescent="0.45">
      <c r="B22" s="39" t="s">
        <v>23</v>
      </c>
      <c r="C22" s="19"/>
      <c r="D22" s="39" t="s">
        <v>19</v>
      </c>
      <c r="E22" s="19"/>
      <c r="F22" s="39" t="s">
        <v>19</v>
      </c>
      <c r="G22" s="19"/>
      <c r="H22" s="39" t="s">
        <v>21</v>
      </c>
      <c r="I22" s="40"/>
      <c r="J22" s="39" t="s">
        <v>17</v>
      </c>
      <c r="K22" s="40"/>
      <c r="L22" s="41" t="s">
        <v>18</v>
      </c>
      <c r="M22" s="42"/>
      <c r="N22" s="41" t="s">
        <v>25</v>
      </c>
      <c r="O22" s="42"/>
      <c r="P22" s="39" t="s">
        <v>31</v>
      </c>
    </row>
    <row r="23" spans="2:16" x14ac:dyDescent="0.45">
      <c r="B23" s="31">
        <v>1</v>
      </c>
      <c r="D23" s="30"/>
      <c r="F23" s="30"/>
      <c r="H23" s="30"/>
      <c r="I23" s="37"/>
      <c r="J23" s="30"/>
      <c r="K23" s="37"/>
      <c r="L23" s="30"/>
      <c r="M23" s="37"/>
      <c r="N23" s="30"/>
      <c r="O23" s="37"/>
      <c r="P23" s="30"/>
    </row>
    <row r="24" spans="2:16" x14ac:dyDescent="0.45">
      <c r="B24" s="31">
        <v>2</v>
      </c>
      <c r="D24" s="30"/>
      <c r="F24" s="30"/>
      <c r="H24" s="30"/>
      <c r="I24" s="37"/>
      <c r="J24" s="30"/>
      <c r="K24" s="37"/>
      <c r="L24" s="30"/>
      <c r="M24" s="37"/>
      <c r="N24" s="30"/>
      <c r="O24" s="37"/>
      <c r="P24" s="30"/>
    </row>
    <row r="25" spans="2:16" x14ac:dyDescent="0.45">
      <c r="B25" s="31">
        <v>3</v>
      </c>
      <c r="D25" s="30"/>
      <c r="F25" s="30"/>
      <c r="H25" s="30"/>
      <c r="I25" s="37"/>
      <c r="J25" s="30"/>
      <c r="K25" s="37"/>
      <c r="L25" s="30"/>
      <c r="M25" s="37"/>
      <c r="N25" s="30"/>
      <c r="O25" s="37"/>
      <c r="P25" s="30"/>
    </row>
    <row r="26" spans="2:16" x14ac:dyDescent="0.45">
      <c r="B26" s="31">
        <v>4</v>
      </c>
      <c r="D26" s="30"/>
      <c r="F26" s="30"/>
      <c r="H26" s="30"/>
      <c r="I26" s="37"/>
      <c r="J26" s="30"/>
      <c r="K26" s="37"/>
      <c r="L26" s="30"/>
      <c r="M26" s="37"/>
      <c r="N26" s="30"/>
      <c r="O26" s="37"/>
      <c r="P26" s="30"/>
    </row>
    <row r="27" spans="2:16" x14ac:dyDescent="0.45">
      <c r="B27" s="31">
        <v>5</v>
      </c>
      <c r="D27" s="30"/>
      <c r="F27" s="30"/>
      <c r="H27" s="30"/>
      <c r="I27" s="37"/>
      <c r="J27" s="30"/>
      <c r="K27" s="37"/>
      <c r="L27" s="30"/>
      <c r="M27" s="37"/>
      <c r="N27" s="30"/>
      <c r="O27" s="37"/>
      <c r="P27" s="30"/>
    </row>
    <row r="28" spans="2:16" x14ac:dyDescent="0.45">
      <c r="B28" s="31">
        <v>6</v>
      </c>
      <c r="D28" s="30"/>
      <c r="F28" s="30"/>
      <c r="H28" s="30"/>
      <c r="I28" s="37"/>
      <c r="J28" s="30"/>
      <c r="K28" s="37"/>
      <c r="L28" s="30"/>
      <c r="M28" s="37"/>
      <c r="N28" s="30"/>
      <c r="O28" s="37"/>
      <c r="P28" s="30"/>
    </row>
    <row r="29" spans="2:16" x14ac:dyDescent="0.45">
      <c r="B29" s="31">
        <v>7</v>
      </c>
      <c r="D29" s="30"/>
      <c r="F29" s="30"/>
      <c r="H29" s="30"/>
      <c r="I29" s="37"/>
      <c r="J29" s="30"/>
      <c r="K29" s="37"/>
      <c r="L29" s="30"/>
      <c r="M29" s="37"/>
      <c r="N29" s="30"/>
      <c r="O29" s="37"/>
      <c r="P29" s="30"/>
    </row>
    <row r="30" spans="2:16" x14ac:dyDescent="0.45">
      <c r="B30" s="31">
        <v>8</v>
      </c>
      <c r="D30" s="30"/>
      <c r="F30" s="30"/>
      <c r="H30" s="30"/>
      <c r="I30" s="37"/>
      <c r="J30" s="30"/>
      <c r="K30" s="37"/>
      <c r="L30" s="30"/>
      <c r="M30" s="37"/>
      <c r="N30" s="30"/>
      <c r="O30" s="37"/>
      <c r="P30" s="30"/>
    </row>
    <row r="31" spans="2:16" x14ac:dyDescent="0.45">
      <c r="B31" s="31">
        <v>9</v>
      </c>
      <c r="D31" s="30"/>
      <c r="F31" s="30"/>
      <c r="H31" s="30"/>
      <c r="I31" s="37"/>
      <c r="J31" s="30"/>
      <c r="K31" s="37"/>
      <c r="L31" s="30"/>
      <c r="M31" s="37"/>
      <c r="N31" s="30"/>
      <c r="O31" s="37"/>
      <c r="P31" s="30"/>
    </row>
    <row r="32" spans="2:16" x14ac:dyDescent="0.45">
      <c r="B32" s="31">
        <v>10</v>
      </c>
      <c r="D32" s="32"/>
      <c r="E32" s="16"/>
      <c r="F32" s="30"/>
      <c r="H32" s="30"/>
      <c r="I32" s="37"/>
      <c r="J32" s="30"/>
      <c r="K32" s="37"/>
      <c r="L32" s="30"/>
      <c r="M32" s="37"/>
      <c r="N32" s="30"/>
      <c r="O32" s="37"/>
      <c r="P32" s="30"/>
    </row>
    <row r="33" spans="2:16" x14ac:dyDescent="0.45">
      <c r="B33" s="31">
        <v>11</v>
      </c>
      <c r="D33" s="33"/>
      <c r="E33" s="6"/>
      <c r="F33" s="30"/>
      <c r="H33" s="30"/>
      <c r="I33" s="37"/>
      <c r="J33" s="30"/>
      <c r="K33" s="37"/>
      <c r="L33" s="30"/>
      <c r="M33" s="37"/>
      <c r="N33" s="30"/>
      <c r="O33" s="37"/>
      <c r="P33" s="30"/>
    </row>
    <row r="34" spans="2:16" x14ac:dyDescent="0.45">
      <c r="B34" s="31">
        <v>12</v>
      </c>
      <c r="D34" s="34"/>
      <c r="E34" s="7"/>
      <c r="F34" s="30"/>
      <c r="H34" s="30"/>
      <c r="I34" s="37"/>
      <c r="J34" s="30"/>
      <c r="K34" s="37"/>
      <c r="L34" s="30"/>
      <c r="M34" s="37"/>
      <c r="N34" s="30"/>
      <c r="O34" s="37"/>
      <c r="P34" s="30"/>
    </row>
    <row r="35" spans="2:16" x14ac:dyDescent="0.45">
      <c r="B35" s="31">
        <v>13</v>
      </c>
      <c r="D35" s="33"/>
      <c r="E35" s="17"/>
      <c r="F35" s="30"/>
      <c r="H35" s="30"/>
      <c r="I35" s="37"/>
      <c r="J35" s="30"/>
      <c r="K35" s="37"/>
      <c r="L35" s="30"/>
      <c r="M35" s="37"/>
      <c r="N35" s="30"/>
      <c r="O35" s="37"/>
      <c r="P35" s="30"/>
    </row>
    <row r="36" spans="2:16" x14ac:dyDescent="0.45">
      <c r="B36" s="31">
        <v>14</v>
      </c>
      <c r="D36" s="35"/>
      <c r="E36" s="17"/>
      <c r="F36" s="30"/>
      <c r="H36" s="30"/>
      <c r="I36" s="37"/>
      <c r="J36" s="30"/>
      <c r="K36" s="37"/>
      <c r="L36" s="30"/>
      <c r="M36" s="37"/>
      <c r="N36" s="30"/>
      <c r="O36" s="37"/>
      <c r="P36" s="30"/>
    </row>
    <row r="37" spans="2:16" x14ac:dyDescent="0.45">
      <c r="B37" s="31">
        <v>15</v>
      </c>
      <c r="D37" s="36"/>
      <c r="E37" s="7"/>
      <c r="F37" s="30"/>
      <c r="H37" s="30"/>
      <c r="I37" s="37"/>
      <c r="J37" s="30"/>
      <c r="K37" s="37"/>
      <c r="L37" s="30"/>
      <c r="M37" s="37"/>
      <c r="N37" s="30"/>
      <c r="O37" s="37"/>
      <c r="P37" s="30"/>
    </row>
    <row r="40" spans="2:16" x14ac:dyDescent="0.45">
      <c r="B40" s="25" t="s">
        <v>35</v>
      </c>
      <c r="C40" s="20"/>
      <c r="D40" s="25" t="s">
        <v>42</v>
      </c>
    </row>
    <row r="41" spans="2:16" x14ac:dyDescent="0.45">
      <c r="B41" s="25" t="s">
        <v>24</v>
      </c>
      <c r="C41" s="20"/>
      <c r="D41" s="25" t="s">
        <v>41</v>
      </c>
    </row>
    <row r="42" spans="2:16" x14ac:dyDescent="0.45">
      <c r="B42" s="25" t="s">
        <v>33</v>
      </c>
      <c r="C42" s="20"/>
      <c r="D42" s="25" t="s">
        <v>41</v>
      </c>
    </row>
    <row r="43" spans="2:16" x14ac:dyDescent="0.45">
      <c r="B43" s="25" t="s">
        <v>36</v>
      </c>
      <c r="C43" s="20"/>
      <c r="D43" s="25" t="s">
        <v>41</v>
      </c>
    </row>
  </sheetData>
  <pageMargins left="0.7" right="0.7" top="0.75" bottom="0.75" header="0.3" footer="0.3"/>
  <pageSetup paperSize="9" orientation="portrait" copies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8793-9D20-454A-BD1D-2D0BACEAF2D2}">
  <dimension ref="A2:T24"/>
  <sheetViews>
    <sheetView topLeftCell="C1" zoomScale="70" zoomScaleNormal="70" workbookViewId="0">
      <selection activeCell="N2" sqref="N2:T2"/>
    </sheetView>
  </sheetViews>
  <sheetFormatPr defaultRowHeight="16.5" x14ac:dyDescent="0.45"/>
  <cols>
    <col min="1" max="1" width="11.1640625" bestFit="1" customWidth="1"/>
    <col min="2" max="2" width="12.33203125" bestFit="1" customWidth="1"/>
    <col min="3" max="3" width="10.25" bestFit="1" customWidth="1"/>
    <col min="4" max="4" width="7.5" bestFit="1" customWidth="1"/>
    <col min="5" max="5" width="8.4140625" bestFit="1" customWidth="1"/>
    <col min="6" max="6" width="10.1640625" bestFit="1" customWidth="1"/>
    <col min="7" max="7" width="10.6640625" bestFit="1" customWidth="1"/>
    <col min="8" max="8" width="17.25" bestFit="1" customWidth="1"/>
    <col min="9" max="9" width="9.83203125" customWidth="1"/>
    <col min="10" max="10" width="7.58203125" bestFit="1" customWidth="1"/>
    <col min="11" max="11" width="13.83203125" bestFit="1" customWidth="1"/>
    <col min="13" max="13" width="13.58203125" bestFit="1" customWidth="1"/>
    <col min="15" max="15" width="10.5" bestFit="1" customWidth="1"/>
    <col min="16" max="16" width="12.83203125" bestFit="1" customWidth="1"/>
    <col min="17" max="17" width="12.33203125" customWidth="1"/>
    <col min="18" max="18" width="11.08203125" bestFit="1" customWidth="1"/>
    <col min="19" max="19" width="13.25" bestFit="1" customWidth="1"/>
    <col min="20" max="20" width="16.75" customWidth="1"/>
  </cols>
  <sheetData>
    <row r="2" spans="1:20" x14ac:dyDescent="0.45">
      <c r="A2" s="39" t="s">
        <v>67</v>
      </c>
      <c r="B2" s="39" t="s">
        <v>20</v>
      </c>
      <c r="C2" s="39" t="s">
        <v>19</v>
      </c>
      <c r="D2" s="39" t="s">
        <v>21</v>
      </c>
      <c r="E2" s="39" t="s">
        <v>72</v>
      </c>
      <c r="F2" s="39" t="s">
        <v>77</v>
      </c>
      <c r="G2" s="39" t="s">
        <v>17</v>
      </c>
      <c r="H2" s="41" t="s">
        <v>18</v>
      </c>
      <c r="I2" s="41" t="s">
        <v>25</v>
      </c>
      <c r="J2" s="39" t="s">
        <v>31</v>
      </c>
      <c r="K2" s="39" t="s">
        <v>27</v>
      </c>
      <c r="L2" s="39" t="s">
        <v>69</v>
      </c>
      <c r="M2" s="39" t="s">
        <v>62</v>
      </c>
      <c r="N2" s="39" t="s">
        <v>63</v>
      </c>
      <c r="O2" s="39" t="s">
        <v>71</v>
      </c>
      <c r="P2" s="39" t="s">
        <v>78</v>
      </c>
      <c r="Q2" s="39" t="s">
        <v>66</v>
      </c>
      <c r="R2" s="39" t="s">
        <v>64</v>
      </c>
      <c r="S2" s="39" t="s">
        <v>65</v>
      </c>
      <c r="T2" s="39" t="s">
        <v>79</v>
      </c>
    </row>
    <row r="3" spans="1:20" x14ac:dyDescent="0.45">
      <c r="A3" s="31">
        <v>1</v>
      </c>
      <c r="B3" s="31"/>
      <c r="C3" s="30"/>
      <c r="D3" s="30">
        <v>30</v>
      </c>
      <c r="E3" s="45">
        <f>30/0.97</f>
        <v>30.927835051546392</v>
      </c>
      <c r="F3" s="45"/>
      <c r="G3" s="30"/>
      <c r="H3" s="30" t="s">
        <v>73</v>
      </c>
      <c r="I3" s="30"/>
      <c r="J3" s="30"/>
      <c r="K3" s="30"/>
      <c r="L3" s="30"/>
      <c r="M3" s="30"/>
      <c r="N3" s="30"/>
      <c r="O3" s="30"/>
      <c r="P3" s="44" t="s">
        <v>68</v>
      </c>
      <c r="Q3" s="30"/>
      <c r="R3" s="30"/>
      <c r="S3" s="30"/>
      <c r="T3" s="44" t="s">
        <v>70</v>
      </c>
    </row>
    <row r="4" spans="1:20" x14ac:dyDescent="0.45">
      <c r="A4" s="31">
        <v>2</v>
      </c>
      <c r="B4" s="31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0" x14ac:dyDescent="0.45">
      <c r="A5" s="31">
        <v>3</v>
      </c>
      <c r="B5" s="31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x14ac:dyDescent="0.45">
      <c r="A6" s="31">
        <v>4</v>
      </c>
      <c r="B6" s="31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x14ac:dyDescent="0.45">
      <c r="A7" s="31">
        <v>5</v>
      </c>
      <c r="B7" s="31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0" x14ac:dyDescent="0.45">
      <c r="A8" s="31">
        <v>6</v>
      </c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spans="1:20" x14ac:dyDescent="0.45">
      <c r="A9" s="31">
        <v>7</v>
      </c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0" x14ac:dyDescent="0.45">
      <c r="A10" s="31">
        <v>8</v>
      </c>
      <c r="B10" s="31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20" x14ac:dyDescent="0.45">
      <c r="A11" s="31">
        <v>9</v>
      </c>
      <c r="B11" s="31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0" x14ac:dyDescent="0.45">
      <c r="A12" s="31">
        <v>10</v>
      </c>
      <c r="B12" s="31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0" x14ac:dyDescent="0.45">
      <c r="A13" s="31">
        <v>11</v>
      </c>
      <c r="B13" s="31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0" x14ac:dyDescent="0.45">
      <c r="A14" s="31">
        <v>12</v>
      </c>
      <c r="B14" s="31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0" x14ac:dyDescent="0.45">
      <c r="A15" s="31">
        <v>13</v>
      </c>
      <c r="B15" s="31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x14ac:dyDescent="0.45">
      <c r="A16" s="31">
        <v>14</v>
      </c>
      <c r="B16" s="31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x14ac:dyDescent="0.45">
      <c r="A17" s="31">
        <v>15</v>
      </c>
      <c r="B17" s="31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20" spans="1:20" x14ac:dyDescent="0.45">
      <c r="E20" t="s">
        <v>74</v>
      </c>
      <c r="G20">
        <v>0.93</v>
      </c>
    </row>
    <row r="21" spans="1:20" x14ac:dyDescent="0.45">
      <c r="E21" t="s">
        <v>75</v>
      </c>
      <c r="G21">
        <f>G20/3</f>
        <v>0.31</v>
      </c>
    </row>
    <row r="22" spans="1:20" x14ac:dyDescent="0.45">
      <c r="E22" t="s">
        <v>76</v>
      </c>
      <c r="G22">
        <f>G20-G21</f>
        <v>0.62000000000000011</v>
      </c>
    </row>
    <row r="23" spans="1:20" x14ac:dyDescent="0.45">
      <c r="G23">
        <f>G22*1000</f>
        <v>620.00000000000011</v>
      </c>
    </row>
    <row r="24" spans="1:20" x14ac:dyDescent="0.45">
      <c r="G24">
        <f>G23/32</f>
        <v>19.375000000000004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bb7255-ca8f-4031-9fe2-0e4ff45a2146}" enabled="0" method="" siteId="{58bb7255-ca8f-4031-9fe2-0e4ff45a21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Cost sheet</vt:lpstr>
      <vt:lpstr>ตัวอย่างหัวข้อที่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INDE</dc:creator>
  <cp:lastModifiedBy>FATIMA INDE</cp:lastModifiedBy>
  <cp:lastPrinted>2026-01-12T08:07:25Z</cp:lastPrinted>
  <dcterms:created xsi:type="dcterms:W3CDTF">2026-01-08T03:11:05Z</dcterms:created>
  <dcterms:modified xsi:type="dcterms:W3CDTF">2026-01-20T03:08:54Z</dcterms:modified>
</cp:coreProperties>
</file>