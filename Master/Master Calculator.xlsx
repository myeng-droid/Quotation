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Quotation\Master\"/>
    </mc:Choice>
  </mc:AlternateContent>
  <xr:revisionPtr revIDLastSave="0" documentId="13_ncr:1_{7E9D68DF-43F8-4709-8DFE-C0BB6089CE4B}" xr6:coauthVersionLast="47" xr6:coauthVersionMax="47" xr10:uidLastSave="{00000000-0000-0000-0000-000000000000}"/>
  <bookViews>
    <workbookView xWindow="-110" yWindow="-110" windowWidth="19420" windowHeight="11500" xr2:uid="{19794FD9-2C50-4521-9D46-2A834FFCC96F}"/>
  </bookViews>
  <sheets>
    <sheet name="Spec Calculator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5" l="1"/>
  <c r="C18" i="15"/>
  <c r="D18" i="15"/>
  <c r="C27" i="15"/>
  <c r="C26" i="15"/>
  <c r="C16" i="15"/>
  <c r="C14" i="15"/>
  <c r="C5" i="15"/>
  <c r="C8" i="15" s="1"/>
  <c r="C9" i="15" s="1"/>
  <c r="C10" i="15" l="1"/>
  <c r="C23" i="15" s="1"/>
  <c r="C25" i="15" s="1"/>
  <c r="C29" i="15" s="1"/>
</calcChain>
</file>

<file path=xl/sharedStrings.xml><?xml version="1.0" encoding="utf-8"?>
<sst xmlns="http://schemas.openxmlformats.org/spreadsheetml/2006/main" count="64" uniqueCount="55">
  <si>
    <t>Quantity</t>
  </si>
  <si>
    <t>ราคา RM</t>
  </si>
  <si>
    <t>Factory Expense</t>
  </si>
  <si>
    <t>Overhead</t>
  </si>
  <si>
    <t>Product RM</t>
  </si>
  <si>
    <t>PACKAGING</t>
  </si>
  <si>
    <t xml:space="preserve"> Item</t>
  </si>
  <si>
    <t>Product Name</t>
  </si>
  <si>
    <t>Yield loss</t>
  </si>
  <si>
    <t>Yield loss %</t>
  </si>
  <si>
    <t>Freight </t>
  </si>
  <si>
    <t xml:space="preserve">Total Cost </t>
  </si>
  <si>
    <t>Selling Price</t>
  </si>
  <si>
    <t>Export Expense</t>
  </si>
  <si>
    <t>MarginCost</t>
  </si>
  <si>
    <t xml:space="preserve">MarginCost After </t>
  </si>
  <si>
    <t xml:space="preserve">WH Storage </t>
  </si>
  <si>
    <t>Commision</t>
  </si>
  <si>
    <t>A&amp;P</t>
  </si>
  <si>
    <t>Agreement</t>
  </si>
  <si>
    <t>Brand</t>
  </si>
  <si>
    <t>Pack Size</t>
  </si>
  <si>
    <t>Other Cost</t>
  </si>
  <si>
    <t>BP</t>
  </si>
  <si>
    <t>RM Net Yield</t>
  </si>
  <si>
    <t xml:space="preserve">AR Interest </t>
  </si>
  <si>
    <t xml:space="preserve">RM Interest </t>
  </si>
  <si>
    <t>Freekey</t>
  </si>
  <si>
    <t>select&amp;look upmaster_overhead</t>
  </si>
  <si>
    <t xml:space="preserve"> Group (0-6)</t>
  </si>
  <si>
    <t>ราคา RM/Yield loss %</t>
  </si>
  <si>
    <t>(Yield loss-ราคา RM)/3</t>
  </si>
  <si>
    <t>Yield loss-BP</t>
  </si>
  <si>
    <t>Auto look upโดยเช็คจากตารางmaster_overhead column yield_loss_percent</t>
  </si>
  <si>
    <t>auto มาจาก Freight (ค่าระวางเรือระหว่างประเทศ)</t>
  </si>
  <si>
    <r>
      <t>RM Net Yield+</t>
    </r>
    <r>
      <rPr>
        <sz val="12"/>
        <color theme="1"/>
        <rFont val="Times New Roman"/>
        <family val="1"/>
      </rPr>
      <t xml:space="preserve"> </t>
    </r>
    <r>
      <rPr>
        <sz val="16"/>
        <color theme="1"/>
        <rFont val="AngsanaUPC"/>
        <family val="1"/>
      </rPr>
      <t>PACKAGING+</t>
    </r>
    <r>
      <rPr>
        <sz val="12"/>
        <color theme="1"/>
        <rFont val="Times New Roman"/>
        <family val="1"/>
      </rPr>
      <t xml:space="preserve"> </t>
    </r>
    <r>
      <rPr>
        <sz val="16"/>
        <color theme="1"/>
        <rFont val="AngsanaUPC"/>
        <family val="1"/>
      </rPr>
      <t>Overhead+</t>
    </r>
    <r>
      <rPr>
        <sz val="12"/>
        <color theme="1"/>
        <rFont val="Times New Roman"/>
        <family val="1"/>
      </rPr>
      <t xml:space="preserve"> </t>
    </r>
    <r>
      <rPr>
        <sz val="16"/>
        <color theme="1"/>
        <rFont val="AngsanaUPC"/>
        <family val="1"/>
      </rPr>
      <t>Factory Expense+</t>
    </r>
    <r>
      <rPr>
        <sz val="12"/>
        <color theme="1"/>
        <rFont val="Times New Roman"/>
        <family val="1"/>
      </rPr>
      <t xml:space="preserve"> </t>
    </r>
    <r>
      <rPr>
        <sz val="16"/>
        <color theme="1"/>
        <rFont val="AngsanaUPC"/>
        <family val="1"/>
      </rPr>
      <t>Freight +</t>
    </r>
    <r>
      <rPr>
        <sz val="12"/>
        <color theme="1"/>
        <rFont val="Times New Roman"/>
        <family val="1"/>
      </rPr>
      <t xml:space="preserve"> </t>
    </r>
    <r>
      <rPr>
        <sz val="16"/>
        <color theme="1"/>
        <rFont val="AngsanaUPC"/>
        <family val="1"/>
      </rPr>
      <t>Export Expense+</t>
    </r>
    <r>
      <rPr>
        <sz val="11"/>
        <color rgb="FF000000"/>
        <rFont val="Aptos Narrow"/>
        <family val="2"/>
      </rPr>
      <t>Commission+ A&amp;P+Agreemen+ Other Cost</t>
    </r>
  </si>
  <si>
    <t xml:space="preserve">Selling Price-Total Cost </t>
  </si>
  <si>
    <t>MarginCost-AR Interest -RM Interest -WH Storage</t>
  </si>
  <si>
    <t>หัวข้อ</t>
  </si>
  <si>
    <t>การทำงาน</t>
  </si>
  <si>
    <t>ตัวอย่าง</t>
  </si>
  <si>
    <t>Running CSตามด้วย ปีคศ.เดือนวัน -running 4 degit</t>
  </si>
  <si>
    <t>CS20260204-0001</t>
  </si>
  <si>
    <t>THAI HOM RICE 100%</t>
  </si>
  <si>
    <t>HM 4 (New)</t>
  </si>
  <si>
    <t>25 LBS</t>
  </si>
  <si>
    <t xml:space="preserve">THAI Chat </t>
  </si>
  <si>
    <t>((Export Expense (ค่าใช้จ่ายส่งออกตามกลุ่ม)+ ค่าเอกสารส่งออก (Export Documents)+ ค่าใช้จ่ายอื่นๆ)/Exchange Rate))/Quantity</t>
  </si>
  <si>
    <t>select&amp;look up master_rm_cost</t>
  </si>
  <si>
    <t>((Auto look up price 1.เอาProductRMไปเช็คแล้วตรงกับค่าตารางmaster_rm_cost column Product 2.เอาShipment Date from ไปเช็คกับตารางmaster_rm_cost column update_date มีเงื่อนไขว่าวันที่ต้องใกล้เคียงแต่ไม่มากกว่าUpdate)*1000)/Exchange Rate</t>
  </si>
  <si>
    <t>((Auto look upโดยเช็คจากตารางmaster_overhead column group_number)*1000)/Exchange Rate</t>
  </si>
  <si>
    <t>((Auto look upโดยเช็คจากตาราง master_factory_expense*1000)/Exchange Rate</t>
  </si>
  <si>
    <t>look up ตารางInterest แล้ว เอา(((((WH Storage Day (วัน)( (30 บาท/เดือน/Ton)/30)*30)*Quantity)/Exchange Rate</t>
  </si>
  <si>
    <t>look up ตารางInterest แล้ว เอา((Selling Price*AR Interest Rate (%))/365)*AR Interest Day (วัน)</t>
  </si>
  <si>
    <t>look up ตารางInterest แล้ว เอา((Selling Price*RM Interest Rate (%))/365)*RM Interest Day (วัน)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</si>
</sst>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color rgb="FF31333F"/>
      <name val="Arial"/>
      <family val="2"/>
    </font>
    <font>
      <sz val="11"/>
      <color rgb="FFFF0000"/>
      <name val="Aptos Narrow"/>
      <family val="2"/>
      <charset val="222"/>
      <scheme val="minor"/>
    </font>
    <font>
      <sz val="12"/>
      <color theme="1"/>
      <name val="Times New Roman"/>
      <family val="1"/>
    </font>
    <font>
      <sz val="16"/>
      <color theme="1"/>
      <name val="AngsanaUPC"/>
      <family val="1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43" fontId="0" fillId="0" borderId="1" xfId="1" applyFont="1" applyBorder="1"/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43" fontId="0" fillId="0" borderId="0" xfId="1" applyFont="1"/>
    <xf numFmtId="43" fontId="4" fillId="0" borderId="1" xfId="1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0" fillId="0" borderId="1" xfId="1" applyFont="1" applyBorder="1" applyAlignment="1">
      <alignment horizontal="right"/>
    </xf>
    <xf numFmtId="43" fontId="0" fillId="0" borderId="0" xfId="0" applyNumberFormat="1"/>
  </cellXfs>
  <cellStyles count="3">
    <cellStyle name="Comma" xfId="1" builtinId="3"/>
    <cellStyle name="Normal" xfId="0" builtinId="0"/>
    <cellStyle name="Normal 2 4" xfId="2" xr:uid="{D8B9AA84-079B-48C6-A96A-7449A43F256E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6F1D-DAD0-4298-A13B-B6D572B6A44F}">
  <sheetPr>
    <pageSetUpPr fitToPage="1"/>
  </sheetPr>
  <dimension ref="A1:D29"/>
  <sheetViews>
    <sheetView tabSelected="1" workbookViewId="0">
      <selection activeCell="E11" sqref="E11"/>
    </sheetView>
  </sheetViews>
  <sheetFormatPr defaultRowHeight="16.5" x14ac:dyDescent="0.45"/>
  <cols>
    <col min="1" max="1" width="17.9140625" customWidth="1"/>
    <col min="2" max="2" width="56.08203125" customWidth="1"/>
    <col min="3" max="3" width="22.1640625" style="10" customWidth="1"/>
    <col min="4" max="4" width="2.9140625" customWidth="1"/>
    <col min="5" max="5" width="22.1640625" customWidth="1"/>
  </cols>
  <sheetData>
    <row r="1" spans="1:3" x14ac:dyDescent="0.45">
      <c r="A1" s="14" t="s">
        <v>38</v>
      </c>
      <c r="B1" s="14" t="s">
        <v>39</v>
      </c>
      <c r="C1" s="15" t="s">
        <v>40</v>
      </c>
    </row>
    <row r="2" spans="1:3" x14ac:dyDescent="0.45">
      <c r="A2" s="8" t="s">
        <v>6</v>
      </c>
      <c r="B2" s="12" t="s">
        <v>41</v>
      </c>
      <c r="C2" s="11" t="s">
        <v>42</v>
      </c>
    </row>
    <row r="3" spans="1:3" x14ac:dyDescent="0.45">
      <c r="A3" s="3" t="s">
        <v>7</v>
      </c>
      <c r="B3" s="12" t="s">
        <v>27</v>
      </c>
      <c r="C3" s="1" t="s">
        <v>43</v>
      </c>
    </row>
    <row r="4" spans="1:3" x14ac:dyDescent="0.45">
      <c r="A4" s="4" t="s">
        <v>4</v>
      </c>
      <c r="B4" s="12" t="s">
        <v>48</v>
      </c>
      <c r="C4" s="1" t="s">
        <v>44</v>
      </c>
    </row>
    <row r="5" spans="1:3" ht="66" x14ac:dyDescent="0.45">
      <c r="A5" s="6" t="s">
        <v>1</v>
      </c>
      <c r="B5" s="12" t="s">
        <v>49</v>
      </c>
      <c r="C5" s="1">
        <f>(29.33*1000)/32</f>
        <v>916.5625</v>
      </c>
    </row>
    <row r="6" spans="1:3" ht="25" x14ac:dyDescent="0.45">
      <c r="A6" s="5" t="s">
        <v>29</v>
      </c>
      <c r="B6" s="12" t="s">
        <v>28</v>
      </c>
      <c r="C6" s="1">
        <v>3</v>
      </c>
    </row>
    <row r="7" spans="1:3" ht="33" x14ac:dyDescent="0.45">
      <c r="A7" s="6" t="s">
        <v>9</v>
      </c>
      <c r="B7" s="12" t="s">
        <v>33</v>
      </c>
      <c r="C7" s="1">
        <v>0.93</v>
      </c>
    </row>
    <row r="8" spans="1:3" x14ac:dyDescent="0.45">
      <c r="A8" s="2" t="s">
        <v>8</v>
      </c>
      <c r="B8" s="12" t="s">
        <v>30</v>
      </c>
      <c r="C8" s="1">
        <f>C5/C7</f>
        <v>985.55107526881716</v>
      </c>
    </row>
    <row r="9" spans="1:3" x14ac:dyDescent="0.45">
      <c r="A9" s="2" t="s">
        <v>23</v>
      </c>
      <c r="B9" s="12" t="s">
        <v>31</v>
      </c>
      <c r="C9" s="1">
        <f>(C8-C5)/3</f>
        <v>22.996191756272385</v>
      </c>
    </row>
    <row r="10" spans="1:3" ht="33" x14ac:dyDescent="0.45">
      <c r="A10" s="2" t="s">
        <v>24</v>
      </c>
      <c r="B10" s="12" t="s">
        <v>32</v>
      </c>
      <c r="C10" s="1">
        <f>C8-C9</f>
        <v>962.55488351254473</v>
      </c>
    </row>
    <row r="11" spans="1:3" ht="33" x14ac:dyDescent="0.45">
      <c r="A11" s="3" t="s">
        <v>5</v>
      </c>
      <c r="B11" s="12" t="s">
        <v>27</v>
      </c>
      <c r="C11" s="1">
        <v>35</v>
      </c>
    </row>
    <row r="12" spans="1:3" x14ac:dyDescent="0.45">
      <c r="A12" s="3" t="s">
        <v>20</v>
      </c>
      <c r="B12" s="12" t="s">
        <v>27</v>
      </c>
      <c r="C12" s="16" t="s">
        <v>46</v>
      </c>
    </row>
    <row r="13" spans="1:3" x14ac:dyDescent="0.45">
      <c r="A13" s="3" t="s">
        <v>21</v>
      </c>
      <c r="B13" s="12" t="s">
        <v>27</v>
      </c>
      <c r="C13" s="16" t="s">
        <v>45</v>
      </c>
    </row>
    <row r="14" spans="1:3" ht="33" x14ac:dyDescent="0.45">
      <c r="A14" s="7" t="s">
        <v>3</v>
      </c>
      <c r="B14" s="12" t="s">
        <v>50</v>
      </c>
      <c r="C14" s="1">
        <f>(0.57*1000)/32</f>
        <v>17.8125</v>
      </c>
    </row>
    <row r="15" spans="1:3" x14ac:dyDescent="0.45">
      <c r="A15" s="3" t="s">
        <v>0</v>
      </c>
      <c r="B15" s="12" t="s">
        <v>27</v>
      </c>
      <c r="C15" s="1">
        <v>200</v>
      </c>
    </row>
    <row r="16" spans="1:3" ht="33" x14ac:dyDescent="0.45">
      <c r="A16" s="2" t="s">
        <v>2</v>
      </c>
      <c r="B16" s="12" t="s">
        <v>51</v>
      </c>
      <c r="C16" s="1">
        <f>(0.42*1000)/32</f>
        <v>13.125</v>
      </c>
    </row>
    <row r="17" spans="1:4" x14ac:dyDescent="0.45">
      <c r="A17" s="2" t="s">
        <v>10</v>
      </c>
      <c r="B17" s="12" t="s">
        <v>34</v>
      </c>
      <c r="C17" s="1"/>
    </row>
    <row r="18" spans="1:4" ht="33" x14ac:dyDescent="0.45">
      <c r="A18" s="2" t="s">
        <v>13</v>
      </c>
      <c r="B18" s="12" t="s">
        <v>47</v>
      </c>
      <c r="C18" s="1">
        <f>(((1400+8300+1050+1350+2800+300+2000+1000)+(1.25*C24*0.000098)+(5500+1000+200+300+208+120+230+30)+(10))/32)/25</f>
        <v>32.24768375</v>
      </c>
      <c r="D18" s="17">
        <f>(((1400+8300+1050+1350+2800+300+2000+1000)+(1.25*C24*0.000098)+(5500+1000+200+300+208+120+230+30)+(10))/32)/25</f>
        <v>32.24768375</v>
      </c>
    </row>
    <row r="19" spans="1:4" x14ac:dyDescent="0.45">
      <c r="A19" s="3" t="s">
        <v>17</v>
      </c>
      <c r="B19" s="12" t="s">
        <v>27</v>
      </c>
      <c r="C19" s="1">
        <v>10</v>
      </c>
    </row>
    <row r="20" spans="1:4" x14ac:dyDescent="0.45">
      <c r="A20" s="3" t="s">
        <v>18</v>
      </c>
      <c r="B20" s="12" t="s">
        <v>27</v>
      </c>
      <c r="C20" s="1">
        <v>10</v>
      </c>
    </row>
    <row r="21" spans="1:4" x14ac:dyDescent="0.45">
      <c r="A21" s="3" t="s">
        <v>19</v>
      </c>
      <c r="B21" s="12" t="s">
        <v>27</v>
      </c>
      <c r="C21" s="1">
        <v>10</v>
      </c>
    </row>
    <row r="22" spans="1:4" x14ac:dyDescent="0.45">
      <c r="A22" s="3" t="s">
        <v>22</v>
      </c>
      <c r="B22" s="12" t="s">
        <v>27</v>
      </c>
      <c r="C22" s="1">
        <v>5</v>
      </c>
    </row>
    <row r="23" spans="1:4" ht="46" x14ac:dyDescent="0.45">
      <c r="A23" s="9" t="s">
        <v>11</v>
      </c>
      <c r="B23" s="13" t="s">
        <v>35</v>
      </c>
      <c r="C23" s="1">
        <f>C10+C11+C14+C16+C18+C17+C19+C20+C21+C22</f>
        <v>1095.7400672625447</v>
      </c>
    </row>
    <row r="24" spans="1:4" x14ac:dyDescent="0.45">
      <c r="A24" s="3" t="s">
        <v>12</v>
      </c>
      <c r="B24" s="12" t="s">
        <v>27</v>
      </c>
      <c r="C24" s="1">
        <v>1200</v>
      </c>
    </row>
    <row r="25" spans="1:4" x14ac:dyDescent="0.45">
      <c r="A25" s="9" t="s">
        <v>14</v>
      </c>
      <c r="B25" s="12" t="s">
        <v>36</v>
      </c>
      <c r="C25" s="1">
        <f>C24-C23</f>
        <v>104.2599327374553</v>
      </c>
    </row>
    <row r="26" spans="1:4" ht="33" x14ac:dyDescent="0.45">
      <c r="A26" s="6" t="s">
        <v>25</v>
      </c>
      <c r="B26" s="12" t="s">
        <v>53</v>
      </c>
      <c r="C26" s="1">
        <f>(C24*(3.5%)/365)*75</f>
        <v>8.6301369863013715</v>
      </c>
    </row>
    <row r="27" spans="1:4" ht="33" x14ac:dyDescent="0.45">
      <c r="A27" s="6" t="s">
        <v>26</v>
      </c>
      <c r="B27" s="12" t="s">
        <v>54</v>
      </c>
      <c r="C27" s="1">
        <f>(C24*(3.25%)/365)*60</f>
        <v>6.4109589041095898</v>
      </c>
    </row>
    <row r="28" spans="1:4" ht="33" x14ac:dyDescent="0.45">
      <c r="A28" s="6" t="s">
        <v>16</v>
      </c>
      <c r="B28" s="12" t="s">
        <v>52</v>
      </c>
      <c r="C28" s="1">
        <f>(30*(30/30)*25)/32</f>
        <v>23.4375</v>
      </c>
    </row>
    <row r="29" spans="1:4" x14ac:dyDescent="0.45">
      <c r="A29" s="9" t="s">
        <v>15</v>
      </c>
      <c r="B29" s="12" t="s">
        <v>37</v>
      </c>
      <c r="C29" s="1">
        <f>C25-C26-C27-C28</f>
        <v>65.781336847044344</v>
      </c>
    </row>
  </sheetData>
  <pageMargins left="0.43" right="0.28000000000000003" top="0.3" bottom="0.27" header="0.31496062992125984" footer="0.31496062992125984"/>
  <pageSetup paperSize="9" scale="91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cp:lastPrinted>2026-02-04T09:52:15Z</cp:lastPrinted>
  <dcterms:created xsi:type="dcterms:W3CDTF">2025-12-08T03:23:09Z</dcterms:created>
  <dcterms:modified xsi:type="dcterms:W3CDTF">2026-02-09T10:53:13Z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